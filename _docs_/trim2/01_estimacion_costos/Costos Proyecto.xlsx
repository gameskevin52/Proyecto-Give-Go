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Qcjwa4bgGYwy5CLPzNUpS7zHq+EyLxbh39VNlDi80k="/>
    </ext>
  </extLst>
</workbook>
</file>

<file path=xl/sharedStrings.xml><?xml version="1.0" encoding="utf-8"?>
<sst xmlns="http://schemas.openxmlformats.org/spreadsheetml/2006/main" count="70" uniqueCount="54">
  <si>
    <t>PROYECTO</t>
  </si>
  <si>
    <t>RECRSOS PROFESIONALES:NOMINA</t>
  </si>
  <si>
    <t>RECURSOS TEC Y TEC</t>
  </si>
  <si>
    <t>COST.IND</t>
  </si>
  <si>
    <t>IMPEVISTOS:10%</t>
  </si>
  <si>
    <t>GANACIAS:15% A 30%</t>
  </si>
  <si>
    <t>Trabajador</t>
  </si>
  <si>
    <t>Salario(dia)</t>
  </si>
  <si>
    <t>Dias contrato</t>
  </si>
  <si>
    <t xml:space="preserve">Total </t>
  </si>
  <si>
    <t>Hardware</t>
  </si>
  <si>
    <t>Costos adicionales</t>
  </si>
  <si>
    <t>Total 10%</t>
  </si>
  <si>
    <t>Ganancias 30%</t>
  </si>
  <si>
    <t>Desarrolladores bakend</t>
  </si>
  <si>
    <t>Vida del producto</t>
  </si>
  <si>
    <t>Costo(portatil)</t>
  </si>
  <si>
    <t xml:space="preserve">Tiempo de uso </t>
  </si>
  <si>
    <t>Extras</t>
  </si>
  <si>
    <t>Costo</t>
  </si>
  <si>
    <t>84 meses</t>
  </si>
  <si>
    <t>8 meses</t>
  </si>
  <si>
    <t>Facturas</t>
  </si>
  <si>
    <t>Desarrolladores frontend</t>
  </si>
  <si>
    <t>Total (harware)</t>
  </si>
  <si>
    <t>Arriendo</t>
  </si>
  <si>
    <t>Total(adicionales 1 persona)</t>
  </si>
  <si>
    <t>Ingeniero en base de datos</t>
  </si>
  <si>
    <t>Software</t>
  </si>
  <si>
    <t>Total(adicionales todos)</t>
  </si>
  <si>
    <t>Herramienta</t>
  </si>
  <si>
    <t>Uso</t>
  </si>
  <si>
    <t>Diseñador UX/UI</t>
  </si>
  <si>
    <t>Visual Studio</t>
  </si>
  <si>
    <t>Gratis</t>
  </si>
  <si>
    <t>Desarrollo</t>
  </si>
  <si>
    <t>Git + GitHub</t>
  </si>
  <si>
    <t>QA Tester</t>
  </si>
  <si>
    <t>Docker</t>
  </si>
  <si>
    <t>Total todo</t>
  </si>
  <si>
    <t>Postman</t>
  </si>
  <si>
    <t>Total(Nomina)</t>
  </si>
  <si>
    <t>Npm</t>
  </si>
  <si>
    <t>My SQL</t>
  </si>
  <si>
    <t>React.js</t>
  </si>
  <si>
    <t>Workbench</t>
  </si>
  <si>
    <t>Figma</t>
  </si>
  <si>
    <t>Diseño</t>
  </si>
  <si>
    <t>Google Workspace</t>
  </si>
  <si>
    <t xml:space="preserve">Gratis </t>
  </si>
  <si>
    <t>Administración del proyecto</t>
  </si>
  <si>
    <t>Google cloud</t>
  </si>
  <si>
    <t>Hosting</t>
  </si>
  <si>
    <t>Total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</si>
</sst>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\ #,##0.00;[Red]\-&quot;$&quot;\ #,##0.00"/>
    <numFmt numFmtId="165" formatCode="&quot;$&quot;\ #,##0;[Red]\-&quot;$&quot;\ #,##0"/>
    <numFmt numFmtId="166" formatCode="&quot;$&quot;\ #,##0.00"/>
  </numFmts>
  <fonts count="15">
    <font>
      <sz val="11.0"/>
      <color theme="1"/>
      <name val="Calibri"/>
      <scheme val="minor"/>
    </font>
    <font>
      <sz val="11.0"/>
      <color theme="0"/>
      <name val="Calibri"/>
    </font>
    <font/>
    <font>
      <sz val="11.0"/>
      <color theme="1"/>
      <name val="Calibri"/>
    </font>
    <font>
      <b/>
      <sz val="9.0"/>
      <color rgb="FF000000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sz val="10.0"/>
      <color rgb="FF000000"/>
      <name val="Calibri"/>
    </font>
    <font>
      <b/>
      <sz val="9.0"/>
      <color rgb="FF555555"/>
      <name val="Arial"/>
    </font>
    <font>
      <sz val="9.0"/>
      <color theme="1"/>
      <name val="Arial"/>
    </font>
    <font>
      <b/>
      <sz val="11.0"/>
      <color rgb="FF000000"/>
      <name val="Arial"/>
    </font>
    <font>
      <b/>
      <sz val="9.0"/>
      <color rgb="FF000000"/>
      <name val="Calibri"/>
    </font>
    <font>
      <sz val="9.0"/>
      <color rgb="FF000000"/>
      <name val="Arial"/>
    </font>
    <font>
      <sz val="11.0"/>
      <color rgb="FF000000"/>
      <name val="Arial"/>
    </font>
    <font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ADB9CA"/>
        <bgColor rgb="FFADB9CA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BBBBBB"/>
      </left>
      <right style="medium">
        <color rgb="FFBBBBBB"/>
      </right>
    </border>
    <border>
      <left style="medium">
        <color rgb="FFBBBBBB"/>
      </left>
      <right style="medium">
        <color rgb="FFBBBBBB"/>
      </right>
      <bottom style="medium">
        <color rgb="FFBBBBBB"/>
      </bottom>
    </border>
    <border>
      <left style="medium">
        <color rgb="FFBBBBBB"/>
      </left>
      <right style="medium">
        <color rgb="FFBBBBBB"/>
      </right>
      <top style="medium">
        <color rgb="FFBBBBBB"/>
      </top>
    </border>
    <border>
      <left style="medium">
        <color rgb="FFBBBBBB"/>
      </left>
      <top style="medium">
        <color rgb="FFBBBBBB"/>
      </top>
    </border>
    <border>
      <left/>
      <right/>
      <top style="medium">
        <color rgb="FFBBBBBB"/>
      </top>
    </border>
    <border>
      <left style="medium">
        <color rgb="FFBBBBBB"/>
      </left>
    </border>
    <border>
      <left/>
      <right/>
    </border>
    <border>
      <left style="medium">
        <color rgb="FFBBBBBB"/>
      </left>
      <bottom style="medium">
        <color rgb="FFBBBBBB"/>
      </bottom>
    </border>
    <border>
      <left/>
      <right/>
      <bottom style="medium">
        <color rgb="FFBBBBBB"/>
      </bottom>
    </border>
    <border>
      <left style="medium">
        <color rgb="FFBBBBBB"/>
      </left>
      <right style="medium">
        <color rgb="FFBBBBBB"/>
      </right>
      <top/>
    </border>
    <border>
      <top style="medium">
        <color rgb="FFBBBBBB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0" fillId="0" fontId="3" numFmtId="0" xfId="0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vertical="top"/>
    </xf>
    <xf borderId="4" fillId="6" fontId="3" numFmtId="0" xfId="0" applyBorder="1" applyFill="1" applyFont="1"/>
    <xf borderId="4" fillId="7" fontId="3" numFmtId="0" xfId="0" applyBorder="1" applyFill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8" numFmtId="164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5" fillId="0" fontId="9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6" fillId="0" fontId="2" numFmtId="0" xfId="0" applyBorder="1" applyFont="1"/>
    <xf borderId="7" fillId="0" fontId="5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8" numFmtId="164" xfId="0" applyAlignment="1" applyBorder="1" applyFont="1" applyNumberForma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9" fillId="8" fontId="8" numFmtId="164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9" fontId="5" numFmtId="0" xfId="0" applyAlignment="1" applyBorder="1" applyFill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15" fillId="0" fontId="2" numFmtId="0" xfId="0" applyBorder="1" applyFont="1"/>
    <xf borderId="4" fillId="8" fontId="4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164" xfId="0" applyFont="1" applyNumberFormat="1"/>
    <xf borderId="7" fillId="0" fontId="4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0" fillId="0" fontId="13" numFmtId="165" xfId="0" applyAlignment="1" applyFont="1" applyNumberForma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7" fillId="10" fontId="5" numFmtId="0" xfId="0" applyAlignment="1" applyBorder="1" applyFill="1" applyFont="1">
      <alignment horizontal="center" shrinkToFit="0" vertical="center" wrapText="1"/>
    </xf>
    <xf borderId="0" fillId="0" fontId="14" numFmtId="0" xfId="0" applyFont="1"/>
    <xf borderId="0" fillId="0" fontId="3" numFmtId="165" xfId="0" applyFont="1" applyNumberFormat="1"/>
    <xf borderId="0" fillId="0" fontId="13" numFmtId="165" xfId="0" applyAlignment="1" applyFont="1" applyNumberFormat="1">
      <alignment shrinkToFit="0" vertical="center" wrapText="1"/>
    </xf>
    <xf borderId="0" fillId="0" fontId="3" numFmtId="164" xfId="0" applyFont="1" applyNumberFormat="1"/>
    <xf borderId="0" fillId="0" fontId="3" numFmtId="166" xfId="0" applyFont="1" applyNumberFormat="1"/>
    <xf borderId="7" fillId="0" fontId="9" numFmtId="0" xfId="0" applyAlignment="1" applyBorder="1" applyFont="1">
      <alignment horizontal="center" shrinkToFit="0" vertical="center" wrapText="1"/>
    </xf>
    <xf borderId="7" fillId="8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57"/>
    <col customWidth="1" min="3" max="3" width="14.14"/>
    <col customWidth="1" min="4" max="4" width="14.29"/>
    <col customWidth="1" min="5" max="5" width="19.14"/>
    <col customWidth="1" min="6" max="6" width="21.29"/>
    <col customWidth="1" min="7" max="7" width="16.29"/>
    <col customWidth="1" min="8" max="8" width="16.14"/>
    <col customWidth="1" min="9" max="9" width="18.29"/>
    <col customWidth="1" min="10" max="10" width="20.14"/>
    <col customWidth="1" min="11" max="11" width="21.29"/>
    <col customWidth="1" min="12" max="26" width="10.71"/>
  </cols>
  <sheetData>
    <row r="1" ht="14.25" customHeight="1"/>
    <row r="2" ht="14.25" customHeight="1"/>
    <row r="3" ht="14.25" customHeight="1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5"/>
      <c r="N3" s="5"/>
      <c r="O3" s="5"/>
    </row>
    <row r="4" ht="14.25" customHeight="1">
      <c r="A4" s="6" t="s">
        <v>1</v>
      </c>
      <c r="B4" s="2"/>
      <c r="C4" s="2"/>
      <c r="D4" s="3"/>
      <c r="E4" s="7" t="s">
        <v>2</v>
      </c>
      <c r="F4" s="2"/>
      <c r="G4" s="3"/>
      <c r="H4" s="8" t="s">
        <v>3</v>
      </c>
      <c r="I4" s="3"/>
      <c r="J4" s="9" t="s">
        <v>4</v>
      </c>
      <c r="K4" s="10" t="s">
        <v>5</v>
      </c>
      <c r="L4" s="5"/>
    </row>
    <row r="5" ht="21.75" customHeight="1">
      <c r="A5" s="11" t="s">
        <v>6</v>
      </c>
      <c r="B5" s="11" t="s">
        <v>7</v>
      </c>
      <c r="C5" s="12" t="s">
        <v>8</v>
      </c>
      <c r="D5" s="11" t="s">
        <v>9</v>
      </c>
      <c r="E5" s="13" t="s">
        <v>10</v>
      </c>
      <c r="H5" s="14" t="s">
        <v>11</v>
      </c>
      <c r="J5" s="15" t="s">
        <v>12</v>
      </c>
      <c r="K5" s="15" t="s">
        <v>13</v>
      </c>
    </row>
    <row r="6" ht="14.25" customHeight="1">
      <c r="A6" s="16" t="s">
        <v>14</v>
      </c>
      <c r="B6" s="17">
        <v>117000.0</v>
      </c>
      <c r="C6" s="18">
        <v>57.0</v>
      </c>
      <c r="D6" s="19">
        <v>6669000.0</v>
      </c>
      <c r="E6" s="20" t="s">
        <v>15</v>
      </c>
      <c r="F6" s="20" t="s">
        <v>16</v>
      </c>
      <c r="G6" s="21" t="s">
        <v>17</v>
      </c>
      <c r="H6" s="11" t="s">
        <v>18</v>
      </c>
      <c r="I6" s="11" t="s">
        <v>19</v>
      </c>
      <c r="J6" s="17">
        <v>1773200.0</v>
      </c>
      <c r="K6" s="19">
        <v>5851560.0</v>
      </c>
      <c r="L6" s="5"/>
    </row>
    <row r="7" ht="14.25" customHeight="1">
      <c r="A7" s="22"/>
      <c r="B7" s="22"/>
      <c r="C7" s="22"/>
      <c r="D7" s="22"/>
      <c r="E7" s="23" t="s">
        <v>20</v>
      </c>
      <c r="F7" s="17">
        <v>3500000.0</v>
      </c>
      <c r="G7" s="23" t="s">
        <v>21</v>
      </c>
      <c r="H7" s="24" t="s">
        <v>22</v>
      </c>
      <c r="I7" s="17">
        <v>200000.0</v>
      </c>
      <c r="J7" s="22"/>
      <c r="K7" s="22"/>
      <c r="L7" s="5"/>
      <c r="M7" s="25"/>
    </row>
    <row r="8" ht="14.2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5"/>
      <c r="M8" s="15"/>
    </row>
    <row r="9" ht="14.25" customHeight="1">
      <c r="A9" s="27" t="s">
        <v>23</v>
      </c>
      <c r="B9" s="17">
        <v>117000.0</v>
      </c>
      <c r="C9" s="28">
        <v>34.0</v>
      </c>
      <c r="D9" s="29">
        <f>B9*C9</f>
        <v>3978000</v>
      </c>
      <c r="E9" s="30"/>
      <c r="F9" s="31" t="s">
        <v>24</v>
      </c>
      <c r="G9" s="17">
        <v>340000.0</v>
      </c>
      <c r="H9" s="24" t="s">
        <v>25</v>
      </c>
      <c r="I9" s="17">
        <v>700000.0</v>
      </c>
      <c r="J9" s="32"/>
      <c r="K9" s="33"/>
      <c r="L9" s="34"/>
      <c r="M9" s="15"/>
      <c r="N9" s="33"/>
      <c r="O9" s="33"/>
      <c r="P9" s="33"/>
    </row>
    <row r="10" ht="8.25" customHeight="1">
      <c r="A10" s="22"/>
      <c r="B10" s="22"/>
      <c r="C10" s="22"/>
      <c r="D10" s="22"/>
      <c r="E10" s="35"/>
      <c r="F10" s="36"/>
      <c r="G10" s="22"/>
      <c r="H10" s="26"/>
      <c r="I10" s="26"/>
      <c r="J10" s="35"/>
    </row>
    <row r="11" ht="14.25" customHeight="1">
      <c r="A11" s="26"/>
      <c r="B11" s="26"/>
      <c r="C11" s="26"/>
      <c r="D11" s="26"/>
      <c r="E11" s="37"/>
      <c r="F11" s="38"/>
      <c r="G11" s="26"/>
      <c r="H11" s="39" t="s">
        <v>26</v>
      </c>
      <c r="I11" s="17">
        <v>900000.0</v>
      </c>
    </row>
    <row r="12" ht="15.0" customHeight="1">
      <c r="A12" s="40" t="s">
        <v>27</v>
      </c>
      <c r="B12" s="17">
        <v>117000.0</v>
      </c>
      <c r="C12" s="28">
        <v>22.0</v>
      </c>
      <c r="D12" s="29">
        <f>B12*C12</f>
        <v>2574000</v>
      </c>
      <c r="E12" s="41" t="s">
        <v>28</v>
      </c>
      <c r="F12" s="42"/>
      <c r="G12" s="42"/>
      <c r="H12" s="26"/>
      <c r="I12" s="26"/>
    </row>
    <row r="13" ht="14.25" customHeight="1">
      <c r="A13" s="22"/>
      <c r="B13" s="22"/>
      <c r="C13" s="22"/>
      <c r="D13" s="22"/>
      <c r="E13" s="35"/>
      <c r="H13" s="39" t="s">
        <v>29</v>
      </c>
      <c r="I13" s="19">
        <f>900000*5</f>
        <v>4500000</v>
      </c>
    </row>
    <row r="14" ht="14.25" customHeight="1">
      <c r="A14" s="26"/>
      <c r="B14" s="26"/>
      <c r="C14" s="26"/>
      <c r="D14" s="26"/>
      <c r="E14" s="43" t="s">
        <v>30</v>
      </c>
      <c r="F14" s="21" t="s">
        <v>19</v>
      </c>
      <c r="G14" s="21" t="s">
        <v>31</v>
      </c>
      <c r="H14" s="26"/>
      <c r="I14" s="26"/>
    </row>
    <row r="15" ht="14.25" customHeight="1">
      <c r="A15" s="40" t="s">
        <v>32</v>
      </c>
      <c r="B15" s="29">
        <v>100000.0</v>
      </c>
      <c r="C15" s="28">
        <v>8.0</v>
      </c>
      <c r="D15" s="29">
        <f>B15*C15</f>
        <v>800000</v>
      </c>
      <c r="E15" s="44" t="s">
        <v>33</v>
      </c>
      <c r="F15" s="45" t="s">
        <v>34</v>
      </c>
      <c r="G15" s="46" t="s">
        <v>35</v>
      </c>
    </row>
    <row r="16" ht="14.25" customHeight="1">
      <c r="A16" s="22"/>
      <c r="B16" s="22"/>
      <c r="C16" s="22"/>
      <c r="D16" s="22"/>
      <c r="E16" s="47" t="s">
        <v>36</v>
      </c>
      <c r="F16" s="48" t="s">
        <v>34</v>
      </c>
      <c r="G16" s="48" t="s">
        <v>35</v>
      </c>
      <c r="H16" s="49"/>
      <c r="I16" s="50"/>
    </row>
    <row r="17" ht="14.25" customHeight="1">
      <c r="A17" s="26"/>
      <c r="B17" s="26"/>
      <c r="C17" s="26"/>
      <c r="D17" s="26"/>
      <c r="E17" s="26"/>
      <c r="F17" s="26"/>
      <c r="G17" s="26"/>
    </row>
    <row r="18" ht="14.25" customHeight="1">
      <c r="A18" s="40" t="s">
        <v>37</v>
      </c>
      <c r="B18" s="29">
        <v>100000.0</v>
      </c>
      <c r="C18" s="28">
        <v>4.0</v>
      </c>
      <c r="D18" s="29">
        <f>B18*C18</f>
        <v>400000</v>
      </c>
      <c r="E18" s="51" t="s">
        <v>38</v>
      </c>
      <c r="F18" s="52" t="s">
        <v>34</v>
      </c>
      <c r="G18" s="52" t="s">
        <v>35</v>
      </c>
      <c r="I18" s="49" t="s">
        <v>39</v>
      </c>
      <c r="J18" s="50">
        <f>14752000+340000+4500000+1740000+1773200+5851560</f>
        <v>28956760</v>
      </c>
    </row>
    <row r="19" ht="14.25" customHeight="1">
      <c r="A19" s="22"/>
      <c r="B19" s="22"/>
      <c r="C19" s="22"/>
      <c r="D19" s="22"/>
      <c r="E19" s="26"/>
      <c r="F19" s="26"/>
      <c r="G19" s="26"/>
      <c r="J19" s="53"/>
    </row>
    <row r="20" ht="14.25" customHeight="1">
      <c r="A20" s="26"/>
      <c r="B20" s="26"/>
      <c r="C20" s="26"/>
      <c r="D20" s="26"/>
      <c r="E20" s="51" t="s">
        <v>40</v>
      </c>
      <c r="F20" s="52" t="s">
        <v>34</v>
      </c>
      <c r="G20" s="52" t="s">
        <v>35</v>
      </c>
      <c r="J20" s="54"/>
    </row>
    <row r="21" ht="14.25" customHeight="1">
      <c r="A21" s="40"/>
      <c r="B21" s="40"/>
      <c r="C21" s="55" t="s">
        <v>41</v>
      </c>
      <c r="D21" s="29">
        <f>SUM(D6:D20)</f>
        <v>14421000</v>
      </c>
      <c r="E21" s="26"/>
      <c r="F21" s="26"/>
      <c r="G21" s="26"/>
      <c r="I21" s="56"/>
      <c r="J21" s="53"/>
      <c r="K21" s="57"/>
    </row>
    <row r="22" ht="14.25" customHeight="1">
      <c r="A22" s="22"/>
      <c r="B22" s="22"/>
      <c r="C22" s="22"/>
      <c r="D22" s="22"/>
      <c r="E22" s="51" t="s">
        <v>42</v>
      </c>
      <c r="F22" s="52" t="s">
        <v>34</v>
      </c>
      <c r="G22" s="52" t="s">
        <v>35</v>
      </c>
      <c r="J22" s="58"/>
    </row>
    <row r="23" ht="14.25" customHeight="1">
      <c r="A23" s="26"/>
      <c r="B23" s="26"/>
      <c r="C23" s="26"/>
      <c r="D23" s="26"/>
      <c r="E23" s="26"/>
      <c r="F23" s="26"/>
      <c r="G23" s="26"/>
      <c r="J23" s="54"/>
    </row>
    <row r="24" ht="14.25" customHeight="1">
      <c r="E24" s="51" t="s">
        <v>43</v>
      </c>
      <c r="F24" s="52" t="s">
        <v>34</v>
      </c>
      <c r="G24" s="52" t="s">
        <v>35</v>
      </c>
      <c r="J24" s="58"/>
    </row>
    <row r="25" ht="14.25" customHeight="1">
      <c r="B25" s="59"/>
      <c r="E25" s="26"/>
      <c r="F25" s="26"/>
      <c r="G25" s="26"/>
    </row>
    <row r="26" ht="14.25" customHeight="1">
      <c r="E26" s="51" t="s">
        <v>44</v>
      </c>
      <c r="F26" s="52" t="s">
        <v>34</v>
      </c>
      <c r="G26" s="52" t="s">
        <v>35</v>
      </c>
    </row>
    <row r="27" ht="14.25" customHeight="1">
      <c r="E27" s="26"/>
      <c r="F27" s="26"/>
      <c r="G27" s="26"/>
      <c r="I27" s="57"/>
    </row>
    <row r="28" ht="14.25" customHeight="1">
      <c r="E28" s="51" t="s">
        <v>45</v>
      </c>
      <c r="F28" s="52" t="s">
        <v>34</v>
      </c>
      <c r="G28" s="52" t="s">
        <v>35</v>
      </c>
    </row>
    <row r="29" ht="14.25" customHeight="1">
      <c r="B29" s="60"/>
      <c r="E29" s="26"/>
      <c r="F29" s="26"/>
      <c r="G29" s="26"/>
    </row>
    <row r="30" ht="14.25" customHeight="1">
      <c r="E30" s="51" t="s">
        <v>46</v>
      </c>
      <c r="F30" s="52" t="s">
        <v>34</v>
      </c>
      <c r="G30" s="52" t="s">
        <v>47</v>
      </c>
    </row>
    <row r="31" ht="14.25" customHeight="1">
      <c r="E31" s="26"/>
      <c r="F31" s="26"/>
      <c r="G31" s="26"/>
    </row>
    <row r="32" ht="22.5" customHeight="1">
      <c r="E32" s="51" t="s">
        <v>48</v>
      </c>
      <c r="F32" s="52" t="s">
        <v>49</v>
      </c>
      <c r="G32" s="61" t="s">
        <v>50</v>
      </c>
    </row>
    <row r="33" ht="14.25" customHeight="1">
      <c r="E33" s="26"/>
      <c r="F33" s="26"/>
      <c r="G33" s="26"/>
    </row>
    <row r="34" ht="14.25" customHeight="1">
      <c r="E34" s="51" t="s">
        <v>51</v>
      </c>
      <c r="F34" s="29">
        <v>1740000.0</v>
      </c>
      <c r="G34" s="52" t="s">
        <v>52</v>
      </c>
    </row>
    <row r="35" ht="14.25" customHeight="1">
      <c r="E35" s="26"/>
      <c r="F35" s="26"/>
      <c r="G35" s="26"/>
    </row>
    <row r="36" ht="14.25" customHeight="1">
      <c r="E36" s="51"/>
      <c r="F36" s="62" t="s">
        <v>53</v>
      </c>
      <c r="G36" s="29">
        <v>1740000.0</v>
      </c>
    </row>
    <row r="37" ht="14.25" customHeight="1">
      <c r="E37" s="26"/>
      <c r="F37" s="26"/>
      <c r="G37" s="26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7">
    <mergeCell ref="D6:D8"/>
    <mergeCell ref="E7:E8"/>
    <mergeCell ref="D9:D11"/>
    <mergeCell ref="E9:E11"/>
    <mergeCell ref="D12:D14"/>
    <mergeCell ref="B6:B8"/>
    <mergeCell ref="C6:C8"/>
    <mergeCell ref="A9:A11"/>
    <mergeCell ref="B9:B11"/>
    <mergeCell ref="C9:C11"/>
    <mergeCell ref="B12:B14"/>
    <mergeCell ref="C12:C14"/>
    <mergeCell ref="A6:A8"/>
    <mergeCell ref="A12:A14"/>
    <mergeCell ref="A15:A17"/>
    <mergeCell ref="B15:B17"/>
    <mergeCell ref="C15:C17"/>
    <mergeCell ref="D15:D17"/>
    <mergeCell ref="E16:E17"/>
    <mergeCell ref="F16:F17"/>
    <mergeCell ref="G16:G17"/>
    <mergeCell ref="A18:A20"/>
    <mergeCell ref="B18:B20"/>
    <mergeCell ref="C18:C20"/>
    <mergeCell ref="D18:D20"/>
    <mergeCell ref="E18:E19"/>
    <mergeCell ref="F18:F19"/>
    <mergeCell ref="G18:G19"/>
    <mergeCell ref="F26:F27"/>
    <mergeCell ref="G26:G27"/>
    <mergeCell ref="E20:E21"/>
    <mergeCell ref="F20:F21"/>
    <mergeCell ref="G20:G21"/>
    <mergeCell ref="E24:E25"/>
    <mergeCell ref="F24:F25"/>
    <mergeCell ref="G24:G25"/>
    <mergeCell ref="E26:E27"/>
    <mergeCell ref="F34:F35"/>
    <mergeCell ref="G34:G35"/>
    <mergeCell ref="E36:E37"/>
    <mergeCell ref="F36:F37"/>
    <mergeCell ref="G36:G37"/>
    <mergeCell ref="E30:E31"/>
    <mergeCell ref="F30:F31"/>
    <mergeCell ref="G30:G31"/>
    <mergeCell ref="E32:E33"/>
    <mergeCell ref="F32:F33"/>
    <mergeCell ref="G32:G33"/>
    <mergeCell ref="E34:E35"/>
    <mergeCell ref="H5:I5"/>
    <mergeCell ref="H7:H8"/>
    <mergeCell ref="I7:I8"/>
    <mergeCell ref="J6:J8"/>
    <mergeCell ref="E4:G4"/>
    <mergeCell ref="H4:I4"/>
    <mergeCell ref="E5:G5"/>
    <mergeCell ref="K6:K8"/>
    <mergeCell ref="A4:D4"/>
    <mergeCell ref="A3:K3"/>
    <mergeCell ref="K9:K10"/>
    <mergeCell ref="L9:L10"/>
    <mergeCell ref="M9:M10"/>
    <mergeCell ref="N9:N10"/>
    <mergeCell ref="O9:O10"/>
    <mergeCell ref="P9:P10"/>
    <mergeCell ref="H11:H12"/>
    <mergeCell ref="I11:I12"/>
    <mergeCell ref="E12:G13"/>
    <mergeCell ref="H13:H14"/>
    <mergeCell ref="I13:I14"/>
    <mergeCell ref="F7:F8"/>
    <mergeCell ref="G7:G8"/>
    <mergeCell ref="F9:F11"/>
    <mergeCell ref="G9:G11"/>
    <mergeCell ref="H9:H10"/>
    <mergeCell ref="I9:I10"/>
    <mergeCell ref="J9:J10"/>
    <mergeCell ref="A21:A23"/>
    <mergeCell ref="B21:B23"/>
    <mergeCell ref="C21:C23"/>
    <mergeCell ref="D21:D23"/>
    <mergeCell ref="E22:E23"/>
    <mergeCell ref="F22:F23"/>
    <mergeCell ref="G22:G23"/>
    <mergeCell ref="E28:E29"/>
    <mergeCell ref="F28:F29"/>
    <mergeCell ref="G28:G2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2026-03-12T19:20:37Z</dcterms:created>
  <dc:creator>APRENDIZ</dc:creator>
</cp:coreProperties>
</file>