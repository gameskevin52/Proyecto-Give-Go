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YUDA -" sheetId="1" r:id="rId4"/>
    <sheet state="visible" name="Componenetes de Hardware" sheetId="2" r:id="rId5"/>
    <sheet state="visible" name="Software" sheetId="3" r:id="rId6"/>
    <sheet state="visible" name="Mano de obra" sheetId="4" r:id="rId7"/>
    <sheet state="visible" name="Total" sheetId="5" r:id="rId8"/>
    <sheet state="hidden" name="Soporte" sheetId="6" r:id="rId9"/>
  </sheets>
  <definedNames/>
  <calcPr/>
  <extLst>
    <ext uri="GoogleSheetsCustomDataVersion2">
      <go:sheetsCustomData xmlns:go="http://customooxmlschemas.google.com/" r:id="rId10" roundtripDataChecksum="LUMQXdBzkLaH7Z8xVKJPMQsIFvXP73+cpLONnCSreG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">
      <text>
        <t xml:space="preserve">======
ID#AAABufzv4vk
MILENA LOPEZ    (2025-12-09 20:52:40)
Se basa en el costo aprox 100 US</t>
      </text>
    </comment>
    <comment authorId="0" ref="I8">
      <text>
        <t xml:space="preserve">======
ID#AAABufzv4vg
MILENA LOPEZ    (2025-12-09 20:52:40)
diseñado para crear aplicaciones móviles</t>
      </text>
    </comment>
    <comment authorId="0" ref="G24">
      <text>
        <t xml:space="preserve">======
ID#AAABufzv4vY
MILENA LOPEZ    (2025-12-09 20:52:40)
Amazon Web Services</t>
      </text>
    </comment>
    <comment authorId="0" ref="H8">
      <text>
        <t xml:space="preserve">======
ID#AAABufzv4vc
MILENA LOPEZ    (2025-12-09 20:52:40)
diseñado para crear aplicaciones móviles</t>
      </text>
    </comment>
    <comment authorId="0" ref="F10">
      <text>
        <t xml:space="preserve">======
ID#AAABufzv4vU
MILENA LOPEZ    (2025-12-09 20:52:40)
Integrado en Visual Studio</t>
      </text>
    </comment>
  </commentList>
  <extLst>
    <ext uri="GoogleSheetsCustomDataVersion2">
      <go:sheetsCustomData xmlns:go="http://customooxmlschemas.google.com/" r:id="rId1" roundtripDataSignature="AMtx7mgOhzzI1PHbprDV7BM7IP7daT45vg=="/>
    </ext>
  </extLst>
</comments>
</file>

<file path=xl/sharedStrings.xml><?xml version="1.0" encoding="utf-8"?>
<sst xmlns="http://schemas.openxmlformats.org/spreadsheetml/2006/main" count="197" uniqueCount="131">
  <si>
    <t>Ayuda</t>
  </si>
  <si>
    <t>Comparación de Precios entre diferentes proveedores</t>
  </si>
  <si>
    <t>ESTADÍSTICAS POR PRODUCTO</t>
  </si>
  <si>
    <t>PRODUCTO</t>
  </si>
  <si>
    <t>CANTIDAD</t>
  </si>
  <si>
    <t>Mercado libre</t>
  </si>
  <si>
    <t>Amazon</t>
  </si>
  <si>
    <t>Katronix</t>
  </si>
  <si>
    <t>PROVEEDOR 4</t>
  </si>
  <si>
    <t>PROVEEDOR 5</t>
  </si>
  <si>
    <t>PROVEEDOR 6</t>
  </si>
  <si>
    <t>PRECIO MÁS BAJO</t>
  </si>
  <si>
    <t>PRECIO PROMEDIO</t>
  </si>
  <si>
    <t>PRECIO MÁS ALTO</t>
  </si>
  <si>
    <t xml:space="preserve">Cpu Torre Core I5 +16ram+hd500 Monitor 19 </t>
  </si>
  <si>
    <t>Monitor Curvo 27 Fhd Diseño Sin Bordes Color Black 100V/240V</t>
  </si>
  <si>
    <t>Disco sólido SSD interno Crucial CT500BX500SSD1 500GB negro</t>
  </si>
  <si>
    <t>Disco sólido SSD interno Kingston SA400S37/240GB Negro</t>
  </si>
  <si>
    <t>Poweredge T150 - Tower Server/ Intel Xeon E-2336g/16gb/2tb</t>
  </si>
  <si>
    <t>MEMORIA RAM DDR4 16G 3200 CORSAIR VENGEANCE RGB RS</t>
  </si>
  <si>
    <t>Combo Dell Wireless Km3322w Teclado + Mouse</t>
  </si>
  <si>
    <t>Mouse gamer vertical inalámbrico recargable Weibo WB-881 negro</t>
  </si>
  <si>
    <t>Licencia Windows 11 Pro ESD Vitalicia</t>
  </si>
  <si>
    <t>Total</t>
  </si>
  <si>
    <t>DATOS ADICIONALES</t>
  </si>
  <si>
    <t>TIEMPO DE ENTREGA (DÍAS)</t>
  </si>
  <si>
    <t>1 a 2 dias habiles</t>
  </si>
  <si>
    <t>5 a 10 dias habiles</t>
  </si>
  <si>
    <t>1 a 8 dias habiles</t>
  </si>
  <si>
    <t>COSTO DE ENVÍO</t>
  </si>
  <si>
    <t>FORMAS DE PAGO</t>
  </si>
  <si>
    <t>contado</t>
  </si>
  <si>
    <t>N/A</t>
  </si>
  <si>
    <t>Targeta de credito</t>
  </si>
  <si>
    <t>Software</t>
  </si>
  <si>
    <t>CATEGORIA</t>
  </si>
  <si>
    <t>Visual Studio code</t>
  </si>
  <si>
    <t>Visual Studio pro(anual)</t>
  </si>
  <si>
    <t>IntelliJ IDEA</t>
  </si>
  <si>
    <t>IntelliJ IDEA Ultimate(anual)</t>
  </si>
  <si>
    <t>Android Studio</t>
  </si>
  <si>
    <t>Xcode</t>
  </si>
  <si>
    <t>.</t>
  </si>
  <si>
    <t>Columna2</t>
  </si>
  <si>
    <t xml:space="preserve"> IDEs y Entornos de Desarrollo</t>
  </si>
  <si>
    <t>Ionic</t>
  </si>
  <si>
    <t>Ionic Plan Pro</t>
  </si>
  <si>
    <t>Xamarin</t>
  </si>
  <si>
    <t>Flutter</t>
  </si>
  <si>
    <t>React Native</t>
  </si>
  <si>
    <t>React.js</t>
  </si>
  <si>
    <t>Frameworks para Aplicaciones Móviles</t>
  </si>
  <si>
    <t>Alojamiento Servidor</t>
  </si>
  <si>
    <t>Node.js+Express</t>
  </si>
  <si>
    <t>Django</t>
  </si>
  <si>
    <t>Laravel</t>
  </si>
  <si>
    <t>Spring Boot</t>
  </si>
  <si>
    <t>Npm/Yarn</t>
  </si>
  <si>
    <t>Backend y Servidores</t>
  </si>
  <si>
    <t>MongoDB</t>
  </si>
  <si>
    <t>MongoDB Atlas M10(anual)</t>
  </si>
  <si>
    <t>Supabase</t>
  </si>
  <si>
    <t>Supabase Pro</t>
  </si>
  <si>
    <t>MySQL</t>
  </si>
  <si>
    <t>Workbench</t>
  </si>
  <si>
    <t>Bases de Datos</t>
  </si>
  <si>
    <t>Figma</t>
  </si>
  <si>
    <t>Figma Professional (anual)</t>
  </si>
  <si>
    <t>Sketch(anual)</t>
  </si>
  <si>
    <t>Canva</t>
  </si>
  <si>
    <t>Canva  Pro (anual)</t>
  </si>
  <si>
    <t>Herramientas de Diseño y Prototipado</t>
  </si>
  <si>
    <t>Git Hub+ Git</t>
  </si>
  <si>
    <t>Git Hub Pro (anual)</t>
  </si>
  <si>
    <t>Bitbucket</t>
  </si>
  <si>
    <t>Bitbucket Standart plan (anual)</t>
  </si>
  <si>
    <t>Git Lab</t>
  </si>
  <si>
    <t>Git Lab premium (anual</t>
  </si>
  <si>
    <t xml:space="preserve"> Control de Versiones </t>
  </si>
  <si>
    <t>Postman</t>
  </si>
  <si>
    <t>Postman Professional</t>
  </si>
  <si>
    <t>Swagger</t>
  </si>
  <si>
    <t>Jest</t>
  </si>
  <si>
    <t>Junit</t>
  </si>
  <si>
    <t>Selenium</t>
  </si>
  <si>
    <t xml:space="preserve"> Pruebas y Depuración
</t>
  </si>
  <si>
    <t>Trello</t>
  </si>
  <si>
    <t>Trello premium</t>
  </si>
  <si>
    <t>Google Workspace Business Standard</t>
  </si>
  <si>
    <t>Notio</t>
  </si>
  <si>
    <t>Notio Business</t>
  </si>
  <si>
    <t xml:space="preserve">Herramientas de Productividad y Colaboración
</t>
  </si>
  <si>
    <t xml:space="preserve">Google Cloud </t>
  </si>
  <si>
    <t>Hostinger</t>
  </si>
  <si>
    <t>DigitalOcean</t>
  </si>
  <si>
    <t>AWS</t>
  </si>
  <si>
    <t>Hetzner</t>
  </si>
  <si>
    <t xml:space="preserve">HOSTING
</t>
  </si>
  <si>
    <t>lENGUAJES</t>
  </si>
  <si>
    <t>JavaScript</t>
  </si>
  <si>
    <t>HTML5 + CSS3</t>
  </si>
  <si>
    <t>My SQL</t>
  </si>
  <si>
    <t>Mano de obra</t>
  </si>
  <si>
    <t>CONCEPTO</t>
  </si>
  <si>
    <t>Cantidad</t>
  </si>
  <si>
    <t>Salario(Mensual Uni)</t>
  </si>
  <si>
    <t>Salario(Anual Uni)</t>
  </si>
  <si>
    <t>Salario(Anual General)</t>
  </si>
  <si>
    <t>Full Stack Junior</t>
  </si>
  <si>
    <t xml:space="preserve">
</t>
  </si>
  <si>
    <t>Concepto</t>
  </si>
  <si>
    <t>Costo</t>
  </si>
  <si>
    <t>Hardware</t>
  </si>
  <si>
    <t>Contingencia</t>
  </si>
  <si>
    <t>Total Final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</si>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</sst>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\ #,##0.00"/>
    <numFmt numFmtId="165" formatCode="_-[$$-2C0A]\ * #,##0.00_-;\-[$$-2C0A]\ * #,##0.00_-;_-[$$-2C0A]\ * &quot;-&quot;??_-;_-@"/>
    <numFmt numFmtId="166" formatCode="_-[$$-409]* #,##0.00_ ;_-[$$-409]* \-#,##0.00\ ;_-[$$-409]* &quot;-&quot;??_ ;_-@_ "/>
    <numFmt numFmtId="167" formatCode="&quot;$&quot;\ #,##0.00;[Red]\-&quot;$&quot;\ #,##0.00"/>
  </numFmts>
  <fonts count="18">
    <font>
      <sz val="8.0"/>
      <color theme="1"/>
      <name val="Arial"/>
      <scheme val="minor"/>
    </font>
    <font>
      <sz val="12.0"/>
      <color theme="1"/>
      <name val="Calibri"/>
    </font>
    <font>
      <sz val="8.0"/>
      <color theme="1"/>
      <name val="Arial"/>
    </font>
    <font>
      <b/>
      <sz val="22.0"/>
      <color rgb="FF3F3F3F"/>
      <name val="Calibri"/>
    </font>
    <font>
      <sz val="10.0"/>
      <color theme="1"/>
      <name val="Calibri"/>
    </font>
    <font>
      <sz val="16.0"/>
      <color rgb="FF7F7F7F"/>
      <name val="Calibri"/>
    </font>
    <font>
      <sz val="20.0"/>
      <color theme="1"/>
      <name val="Calibri"/>
    </font>
    <font>
      <b/>
      <sz val="14.0"/>
      <color theme="0"/>
      <name val="Calibri"/>
    </font>
    <font/>
    <font>
      <b/>
      <sz val="14.0"/>
      <color rgb="FF8745EC"/>
      <name val="Calibri"/>
    </font>
    <font>
      <sz val="14.0"/>
      <color rgb="FF595959"/>
      <name val="Calibri"/>
    </font>
    <font>
      <b/>
      <sz val="14.0"/>
      <color rgb="FF595959"/>
      <name val="Calibri"/>
    </font>
    <font>
      <b/>
      <sz val="14.0"/>
      <color rgb="FF7F7F7F"/>
      <name val="Calibri"/>
    </font>
    <font>
      <sz val="10.0"/>
      <color rgb="FFFF0000"/>
      <name val="Calibri"/>
    </font>
    <font>
      <sz val="11.0"/>
      <color rgb="FF4D5156"/>
      <name val="Arial"/>
    </font>
    <font>
      <sz val="13.0"/>
      <color rgb="FF595959"/>
      <name val="Calibri"/>
    </font>
    <font>
      <sz val="11.0"/>
      <color rgb="FF000000"/>
      <name val="Arial"/>
    </font>
    <font>
      <u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5">
    <border/>
    <border>
      <left/>
      <right/>
      <top/>
      <bottom/>
    </border>
    <border>
      <left/>
      <right/>
      <top/>
      <bottom style="thin">
        <color theme="0"/>
      </bottom>
    </border>
    <border>
      <left style="medium">
        <color rgb="FF8745EC"/>
      </left>
      <top style="medium">
        <color rgb="FF8745EC"/>
      </top>
      <bottom style="thin">
        <color theme="0"/>
      </bottom>
    </border>
    <border>
      <top style="medium">
        <color rgb="FF8745EC"/>
      </top>
      <bottom style="thin">
        <color theme="0"/>
      </bottom>
    </border>
    <border>
      <right style="medium">
        <color rgb="FF8745EC"/>
      </right>
      <top style="medium">
        <color rgb="FF8745EC"/>
      </top>
      <bottom style="thin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8745EC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</border>
    <border>
      <left/>
      <right/>
      <top/>
      <bottom style="medium">
        <color rgb="FFF2F2F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bottom style="medium">
        <color rgb="FFF2F2F2"/>
      </bottom>
    </border>
    <border>
      <left style="medium">
        <color rgb="FF8745EC"/>
      </left>
      <right style="thin">
        <color theme="0"/>
      </right>
      <top/>
      <bottom style="thin">
        <color theme="0"/>
      </bottom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medium">
        <color rgb="FF8745EC"/>
      </right>
      <top style="thin">
        <color theme="0"/>
      </top>
      <bottom/>
    </border>
    <border>
      <top style="dotted">
        <color rgb="FFF2F2F2"/>
      </top>
      <bottom style="medium">
        <color rgb="FFF2F2F2"/>
      </bottom>
    </border>
    <border>
      <left style="medium">
        <color rgb="FF8745EC"/>
      </left>
      <top/>
      <bottom/>
    </border>
    <border>
      <right style="medium">
        <color theme="0"/>
      </right>
      <top/>
      <bottom/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medium">
        <color theme="0"/>
      </left>
      <top style="medium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left style="thin">
        <color theme="0"/>
      </left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</border>
    <border>
      <left style="thin">
        <color rgb="FFFFFF66"/>
      </left>
    </border>
    <border>
      <right style="thin">
        <color rgb="FFFFFF66"/>
      </right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</border>
    <border>
      <left/>
      <right/>
      <top style="dotted">
        <color rgb="FFF2F2F2"/>
      </top>
      <bottom style="medium">
        <color rgb="FFF2F2F2"/>
      </bottom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top/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1" fillId="3" fontId="4" numFmtId="0" xfId="0" applyBorder="1" applyFill="1" applyFont="1"/>
    <xf borderId="0" fillId="0" fontId="4" numFmtId="0" xfId="0" applyFont="1"/>
    <xf borderId="2" fillId="2" fontId="2" numFmtId="0" xfId="0" applyBorder="1" applyFont="1"/>
    <xf borderId="0" fillId="0" fontId="5" numFmtId="0" xfId="0" applyAlignment="1" applyFont="1">
      <alignment horizontal="center" vertical="top"/>
    </xf>
    <xf borderId="1" fillId="3" fontId="6" numFmtId="0" xfId="0" applyAlignment="1" applyBorder="1" applyFont="1">
      <alignment vertical="center"/>
    </xf>
    <xf borderId="3" fillId="2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3" fontId="1" numFmtId="0" xfId="0" applyAlignment="1" applyBorder="1" applyFont="1">
      <alignment horizontal="center"/>
    </xf>
    <xf borderId="6" fillId="4" fontId="9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1" fillId="3" fontId="1" numFmtId="0" xfId="0" applyBorder="1" applyFont="1"/>
    <xf borderId="10" fillId="3" fontId="10" numFmtId="164" xfId="0" applyAlignment="1" applyBorder="1" applyFont="1" applyNumberFormat="1">
      <alignment horizontal="center" shrinkToFit="0" vertical="center" wrapText="1"/>
    </xf>
    <xf borderId="10" fillId="4" fontId="10" numFmtId="2" xfId="0" applyAlignment="1" applyBorder="1" applyFont="1" applyNumberFormat="1">
      <alignment horizontal="center" shrinkToFit="0" vertical="center" wrapText="0"/>
    </xf>
    <xf borderId="10" fillId="3" fontId="10" numFmtId="164" xfId="0" applyAlignment="1" applyBorder="1" applyFont="1" applyNumberFormat="1">
      <alignment horizontal="center" shrinkToFit="0" vertical="center" wrapText="0"/>
    </xf>
    <xf borderId="10" fillId="4" fontId="10" numFmtId="164" xfId="0" applyAlignment="1" applyBorder="1" applyFont="1" applyNumberFormat="1">
      <alignment horizontal="center" shrinkToFit="0" vertical="center" wrapText="0"/>
    </xf>
    <xf borderId="1" fillId="4" fontId="11" numFmtId="164" xfId="0" applyAlignment="1" applyBorder="1" applyFont="1" applyNumberFormat="1">
      <alignment horizontal="center" shrinkToFit="0" vertical="center" wrapText="0"/>
    </xf>
    <xf borderId="11" fillId="5" fontId="12" numFmtId="164" xfId="0" applyAlignment="1" applyBorder="1" applyFill="1" applyFont="1" applyNumberFormat="1">
      <alignment horizontal="center" shrinkToFit="0" vertical="center" wrapText="0"/>
    </xf>
    <xf borderId="12" fillId="5" fontId="12" numFmtId="164" xfId="0" applyAlignment="1" applyBorder="1" applyFont="1" applyNumberFormat="1">
      <alignment horizontal="center" shrinkToFit="0" vertical="center" wrapText="0"/>
    </xf>
    <xf borderId="9" fillId="5" fontId="12" numFmtId="164" xfId="0" applyAlignment="1" applyBorder="1" applyFont="1" applyNumberFormat="1">
      <alignment horizontal="center" shrinkToFit="0" vertical="center" wrapText="0"/>
    </xf>
    <xf borderId="13" fillId="0" fontId="10" numFmtId="164" xfId="0" applyAlignment="1" applyBorder="1" applyFont="1" applyNumberFormat="1">
      <alignment horizontal="center" shrinkToFit="0" vertical="center" wrapText="1"/>
    </xf>
    <xf borderId="13" fillId="0" fontId="10" numFmtId="2" xfId="0" applyAlignment="1" applyBorder="1" applyFont="1" applyNumberFormat="1">
      <alignment horizontal="center" shrinkToFit="0" vertical="center" wrapText="0"/>
    </xf>
    <xf borderId="13" fillId="0" fontId="10" numFmtId="165" xfId="0" applyAlignment="1" applyBorder="1" applyFont="1" applyNumberFormat="1">
      <alignment horizontal="center" shrinkToFit="0" vertical="center" wrapText="1"/>
    </xf>
    <xf borderId="13" fillId="0" fontId="10" numFmtId="164" xfId="0" applyAlignment="1" applyBorder="1" applyFont="1" applyNumberFormat="1">
      <alignment horizontal="center" shrinkToFit="0" vertical="center" wrapText="0"/>
    </xf>
    <xf borderId="14" fillId="5" fontId="12" numFmtId="164" xfId="0" applyAlignment="1" applyBorder="1" applyFont="1" applyNumberFormat="1">
      <alignment horizontal="center" shrinkToFit="0" vertical="center" wrapText="0"/>
    </xf>
    <xf borderId="8" fillId="5" fontId="12" numFmtId="164" xfId="0" applyAlignment="1" applyBorder="1" applyFont="1" applyNumberFormat="1">
      <alignment horizontal="center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7" fillId="5" fontId="12" numFmtId="164" xfId="0" applyAlignment="1" applyBorder="1" applyFont="1" applyNumberFormat="1">
      <alignment horizontal="center" shrinkToFit="0" vertical="center" wrapText="0"/>
    </xf>
    <xf borderId="16" fillId="5" fontId="12" numFmtId="164" xfId="0" applyAlignment="1" applyBorder="1" applyFont="1" applyNumberFormat="1">
      <alignment horizontal="center" shrinkToFit="0" vertical="center" wrapText="0"/>
    </xf>
    <xf borderId="17" fillId="5" fontId="12" numFmtId="164" xfId="0" applyAlignment="1" applyBorder="1" applyFont="1" applyNumberFormat="1">
      <alignment horizontal="center" shrinkToFit="0" vertical="center" wrapText="0"/>
    </xf>
    <xf borderId="0" fillId="0" fontId="13" numFmtId="0" xfId="0" applyFont="1"/>
    <xf borderId="18" fillId="0" fontId="10" numFmtId="164" xfId="0" applyAlignment="1" applyBorder="1" applyFont="1" applyNumberFormat="1">
      <alignment horizontal="center" shrinkToFit="0" vertical="center" wrapText="1"/>
    </xf>
    <xf borderId="18" fillId="0" fontId="10" numFmtId="2" xfId="0" applyAlignment="1" applyBorder="1" applyFont="1" applyNumberFormat="1">
      <alignment horizontal="center" shrinkToFit="0" vertical="center" wrapText="0"/>
    </xf>
    <xf borderId="18" fillId="0" fontId="10" numFmtId="164" xfId="0" applyAlignment="1" applyBorder="1" applyFont="1" applyNumberFormat="1">
      <alignment horizontal="center" shrinkToFit="0" vertical="center" wrapText="0"/>
    </xf>
    <xf borderId="1" fillId="5" fontId="11" numFmtId="0" xfId="0" applyAlignment="1" applyBorder="1" applyFont="1">
      <alignment horizontal="center" shrinkToFit="0" vertical="center" wrapText="0"/>
    </xf>
    <xf borderId="10" fillId="5" fontId="11" numFmtId="164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2" numFmtId="164" xfId="0" applyAlignment="1" applyFont="1" applyNumberFormat="1">
      <alignment horizontal="center" shrinkToFit="0" vertical="center" wrapText="0"/>
    </xf>
    <xf borderId="19" fillId="2" fontId="7" numFmtId="0" xfId="0" applyAlignment="1" applyBorder="1" applyFont="1">
      <alignment horizontal="center" shrinkToFit="0" vertical="center" wrapText="1"/>
    </xf>
    <xf borderId="20" fillId="0" fontId="8" numFmtId="0" xfId="0" applyBorder="1" applyFont="1"/>
    <xf borderId="21" fillId="0" fontId="9" numFmtId="0" xfId="0" applyAlignment="1" applyBorder="1" applyFont="1">
      <alignment horizontal="left" shrinkToFit="0" vertical="center" wrapText="1"/>
    </xf>
    <xf borderId="22" fillId="0" fontId="9" numFmtId="0" xfId="0" applyAlignment="1" applyBorder="1" applyFont="1">
      <alignment horizontal="left" shrinkToFit="0" vertical="center" wrapText="1"/>
    </xf>
    <xf borderId="23" fillId="4" fontId="9" numFmtId="0" xfId="0" applyAlignment="1" applyBorder="1" applyFont="1">
      <alignment horizontal="center" shrinkToFit="0" vertical="center" wrapText="1"/>
    </xf>
    <xf borderId="24" fillId="0" fontId="8" numFmtId="0" xfId="0" applyBorder="1" applyFont="1"/>
    <xf borderId="11" fillId="0" fontId="10" numFmtId="0" xfId="0" applyAlignment="1" applyBorder="1" applyFont="1">
      <alignment horizontal="center" vertical="center"/>
    </xf>
    <xf borderId="11" fillId="0" fontId="10" numFmtId="166" xfId="0" applyAlignment="1" applyBorder="1" applyFont="1" applyNumberFormat="1">
      <alignment horizontal="center" vertical="center"/>
    </xf>
    <xf borderId="11" fillId="0" fontId="14" numFmtId="166" xfId="0" applyBorder="1" applyFont="1" applyNumberFormat="1"/>
    <xf borderId="11" fillId="0" fontId="10" numFmtId="164" xfId="0" applyAlignment="1" applyBorder="1" applyFont="1" applyNumberFormat="1">
      <alignment horizontal="center" vertical="center"/>
    </xf>
    <xf borderId="25" fillId="4" fontId="9" numFmtId="0" xfId="0" applyAlignment="1" applyBorder="1" applyFont="1">
      <alignment horizontal="center" shrinkToFit="0" vertical="center" wrapText="1"/>
    </xf>
    <xf borderId="26" fillId="0" fontId="8" numFmtId="0" xfId="0" applyBorder="1" applyFont="1"/>
    <xf borderId="27" fillId="0" fontId="8" numFmtId="0" xfId="0" applyBorder="1" applyFont="1"/>
    <xf borderId="11" fillId="0" fontId="11" numFmtId="4" xfId="0" applyAlignment="1" applyBorder="1" applyFont="1" applyNumberFormat="1">
      <alignment horizontal="center" vertical="center"/>
    </xf>
    <xf borderId="28" fillId="0" fontId="8" numFmtId="0" xfId="0" applyBorder="1" applyFont="1"/>
    <xf borderId="29" fillId="0" fontId="8" numFmtId="0" xfId="0" applyBorder="1" applyFont="1"/>
    <xf borderId="1" fillId="5" fontId="11" numFmtId="0" xfId="0" applyAlignment="1" applyBorder="1" applyFont="1">
      <alignment horizontal="center" vertical="center"/>
    </xf>
    <xf borderId="10" fillId="5" fontId="11" numFmtId="164" xfId="0" applyAlignment="1" applyBorder="1" applyFont="1" applyNumberFormat="1">
      <alignment horizontal="center" vertical="center"/>
    </xf>
    <xf borderId="30" fillId="0" fontId="15" numFmtId="167" xfId="0" applyAlignment="1" applyBorder="1" applyFont="1" applyNumberFormat="1">
      <alignment shrinkToFit="0" vertical="center" wrapText="1"/>
    </xf>
    <xf borderId="31" fillId="0" fontId="16" numFmtId="167" xfId="0" applyAlignment="1" applyBorder="1" applyFont="1" applyNumberFormat="1">
      <alignment shrinkToFit="0" vertical="center" wrapText="1"/>
    </xf>
    <xf borderId="0" fillId="0" fontId="16" numFmtId="167" xfId="0" applyAlignment="1" applyFont="1" applyNumberFormat="1">
      <alignment shrinkToFit="0" vertical="center" wrapText="1"/>
    </xf>
    <xf borderId="32" fillId="0" fontId="16" numFmtId="167" xfId="0" applyAlignment="1" applyBorder="1" applyFont="1" applyNumberFormat="1">
      <alignment shrinkToFit="0" vertical="center" wrapText="1"/>
    </xf>
    <xf borderId="33" fillId="0" fontId="15" numFmtId="167" xfId="0" applyAlignment="1" applyBorder="1" applyFont="1" applyNumberFormat="1">
      <alignment shrinkToFit="0" vertical="center" wrapText="1"/>
    </xf>
    <xf borderId="0" fillId="0" fontId="3" numFmtId="0" xfId="0" applyAlignment="1" applyFont="1">
      <alignment horizontal="center" vertical="center"/>
    </xf>
    <xf borderId="1" fillId="3" fontId="1" numFmtId="0" xfId="0" applyAlignment="1" applyBorder="1" applyFont="1">
      <alignment horizontal="center" readingOrder="0" shrinkToFit="0" vertical="center" wrapText="0"/>
    </xf>
    <xf borderId="9" fillId="3" fontId="12" numFmtId="164" xfId="0" applyAlignment="1" applyBorder="1" applyFont="1" applyNumberFormat="1">
      <alignment horizontal="center" shrinkToFit="0" vertical="center" wrapText="0"/>
    </xf>
    <xf borderId="6" fillId="4" fontId="9" numFmtId="0" xfId="0" applyAlignment="1" applyBorder="1" applyFont="1">
      <alignment horizontal="center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34" fillId="3" fontId="10" numFmtId="164" xfId="0" applyAlignment="1" applyBorder="1" applyFont="1" applyNumberFormat="1">
      <alignment horizontal="center" shrinkToFit="0" vertical="center" wrapText="0"/>
    </xf>
    <xf borderId="1" fillId="3" fontId="4" numFmtId="164" xfId="0" applyAlignment="1" applyBorder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164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1" fillId="3" fontId="13" numFmtId="164" xfId="0" applyAlignment="1" applyBorder="1" applyFont="1" applyNumberFormat="1">
      <alignment shrinkToFit="0" vertical="center" wrapText="0"/>
    </xf>
    <xf borderId="1" fillId="3" fontId="13" numFmtId="0" xfId="0" applyAlignment="1" applyBorder="1" applyFont="1">
      <alignment shrinkToFit="0" vertical="center" wrapText="0"/>
    </xf>
    <xf borderId="34" fillId="3" fontId="10" numFmtId="2" xfId="0" applyAlignment="1" applyBorder="1" applyFont="1" applyNumberFormat="1">
      <alignment horizontal="center" shrinkToFit="0" vertical="center" wrapText="0"/>
    </xf>
    <xf borderId="6" fillId="4" fontId="9" numFmtId="0" xfId="0" applyAlignment="1" applyBorder="1" applyFont="1">
      <alignment horizontal="center" shrinkToFit="0" vertical="center" wrapText="1"/>
    </xf>
    <xf borderId="10" fillId="6" fontId="10" numFmtId="164" xfId="0" applyAlignment="1" applyBorder="1" applyFill="1" applyFont="1" applyNumberFormat="1">
      <alignment horizontal="center" shrinkToFit="0" vertical="center" wrapText="1"/>
    </xf>
    <xf borderId="34" fillId="6" fontId="10" numFmtId="2" xfId="0" applyAlignment="1" applyBorder="1" applyFont="1" applyNumberFormat="1">
      <alignment horizontal="center" vertical="center"/>
    </xf>
    <xf borderId="10" fillId="4" fontId="10" numFmtId="164" xfId="0" applyAlignment="1" applyBorder="1" applyFont="1" applyNumberFormat="1">
      <alignment horizontal="center" readingOrder="0" shrinkToFit="0" vertical="center" wrapText="0"/>
    </xf>
    <xf borderId="1" fillId="3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vertical="top"/>
    </xf>
    <xf borderId="1" fillId="3" fontId="17" numFmtId="0" xfId="0" applyBorder="1" applyFont="1"/>
    <xf borderId="1" fillId="5" fontId="11" numFmtId="164" xfId="0" applyAlignment="1" applyBorder="1" applyFont="1" applyNumberFormat="1">
      <alignment horizontal="center" vertical="center"/>
    </xf>
    <xf borderId="10" fillId="5" fontId="11" numFmtId="164" xfId="0" applyAlignment="1" applyBorder="1" applyFont="1" applyNumberFormat="1">
      <alignment horizontal="center" readingOrder="0" vertical="center"/>
    </xf>
    <xf borderId="11" fillId="0" fontId="11" numFmtId="164" xfId="0" applyAlignment="1" applyBorder="1" applyFont="1" applyNumberFormat="1">
      <alignment horizontal="center" vertical="center"/>
    </xf>
    <xf borderId="18" fillId="0" fontId="10" numFmtId="164" xfId="0" applyAlignment="1" applyBorder="1" applyFont="1" applyNumberForma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35" fillId="0" fontId="10" numFmtId="0" xfId="0" applyAlignment="1" applyBorder="1" applyFont="1">
      <alignment horizontal="center" vertical="center"/>
    </xf>
    <xf borderId="36" fillId="0" fontId="10" numFmtId="0" xfId="0" applyAlignment="1" applyBorder="1" applyFont="1">
      <alignment horizontal="center" vertical="center"/>
    </xf>
    <xf borderId="35" fillId="0" fontId="10" numFmtId="164" xfId="0" applyAlignment="1" applyBorder="1" applyFont="1" applyNumberFormat="1">
      <alignment horizontal="center" vertical="center"/>
    </xf>
    <xf borderId="36" fillId="0" fontId="10" numFmtId="164" xfId="0" applyAlignment="1" applyBorder="1" applyFont="1" applyNumberFormat="1">
      <alignment horizontal="center" vertical="center"/>
    </xf>
    <xf borderId="37" fillId="0" fontId="10" numFmtId="164" xfId="0" applyAlignment="1" applyBorder="1" applyFont="1" applyNumberFormat="1">
      <alignment horizontal="center" vertical="center"/>
    </xf>
    <xf borderId="38" fillId="0" fontId="10" numFmtId="164" xfId="0" applyAlignment="1" applyBorder="1" applyFont="1" applyNumberFormat="1">
      <alignment horizontal="center" vertical="center"/>
    </xf>
    <xf borderId="39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 vertical="center"/>
    </xf>
    <xf borderId="39" fillId="0" fontId="11" numFmtId="4" xfId="0" applyAlignment="1" applyBorder="1" applyFont="1" applyNumberFormat="1">
      <alignment horizontal="center" vertical="center"/>
    </xf>
    <xf borderId="40" fillId="0" fontId="11" numFmtId="4" xfId="0" applyAlignment="1" applyBorder="1" applyFont="1" applyNumberFormat="1">
      <alignment horizontal="center" vertical="center"/>
    </xf>
    <xf borderId="41" fillId="0" fontId="10" numFmtId="0" xfId="0" applyAlignment="1" applyBorder="1" applyFont="1">
      <alignment horizontal="center" vertical="center"/>
    </xf>
    <xf borderId="42" fillId="0" fontId="10" numFmtId="0" xfId="0" applyAlignment="1" applyBorder="1" applyFont="1">
      <alignment horizontal="center" vertical="center"/>
    </xf>
    <xf borderId="0" fillId="0" fontId="16" numFmtId="0" xfId="0" applyFont="1"/>
    <xf borderId="43" fillId="6" fontId="15" numFmtId="167" xfId="0" applyAlignment="1" applyBorder="1" applyFont="1" applyNumberFormat="1">
      <alignment shrinkToFit="0" vertical="center" wrapText="1"/>
    </xf>
    <xf borderId="44" fillId="6" fontId="15" numFmtId="167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ont/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ont/>
      <fill>
        <patternFill patternType="none"/>
      </fill>
      <border/>
    </dxf>
    <dxf>
      <font/>
      <fill>
        <patternFill patternType="solid">
          <fgColor rgb="FFF8F3FF"/>
          <bgColor rgb="FFF8F3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border>
        <left style="thin">
          <color rgb="FFF8F3FF"/>
        </left>
        <right style="thin">
          <color rgb="FFF8F3FF"/>
        </right>
        <top style="thin">
          <color rgb="FFF8F3FF"/>
        </top>
        <bottom style="thin">
          <color rgb="FFF8F3FF"/>
        </bottom>
      </border>
    </dxf>
  </dxfs>
  <tableStyles count="3">
    <tableStyle count="5" pivot="0" name="Componenetes de Hardware-style">
      <tableStyleElement dxfId="3" type="headerRow"/>
      <tableStyleElement dxfId="4" type="firstRowStripe"/>
      <tableStyleElement dxfId="4" type="secondRowStripe"/>
      <tableStyleElement dxfId="5" type="totalRow"/>
      <tableStyleElement dxfId="6" size="0" type="wholeTable"/>
    </tableStyle>
    <tableStyle count="4" pivot="0" name="Software-style">
      <tableStyleElement dxfId="3" type="headerRow"/>
      <tableStyleElement dxfId="4" type="firstRowStripe"/>
      <tableStyleElement dxfId="4" type="secondRowStripe"/>
      <tableStyleElement dxfId="6" size="0" type="wholeTable"/>
    </tableStyle>
    <tableStyle count="4" pivot="0" name="Mano de obra-style">
      <tableStyleElement dxfId="3" type="headerRow"/>
      <tableStyleElement dxfId="4" type="firstRowStripe"/>
      <tableStyleElement dxfId="4" type="secondRowStripe"/>
      <tableStyleElement dxfId="6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4</xdr:row>
      <xdr:rowOff>123825</xdr:rowOff>
    </xdr:from>
    <xdr:ext cx="8029575" cy="6143625"/>
    <xdr:sp>
      <xdr:nvSpPr>
        <xdr:cNvPr id="3" name="Shape 3"/>
        <xdr:cNvSpPr txBox="1"/>
      </xdr:nvSpPr>
      <xdr:spPr>
        <a:xfrm>
          <a:off x="1335975" y="712950"/>
          <a:ext cx="8020050" cy="61341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 comparación de precios entre proveedores le permitirá saber que proveedor le da el mejor precio para cada producto que quiera comprar.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57150</xdr:colOff>
      <xdr:row>0</xdr:row>
      <xdr:rowOff>85725</xdr:rowOff>
    </xdr:from>
    <xdr:ext cx="6629400" cy="771525"/>
    <xdr:sp>
      <xdr:nvSpPr>
        <xdr:cNvPr id="4" name="Shape 4"/>
        <xdr:cNvSpPr txBox="1"/>
      </xdr:nvSpPr>
      <xdr:spPr>
        <a:xfrm>
          <a:off x="2036063" y="3399000"/>
          <a:ext cx="6619875" cy="7620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400050</xdr:colOff>
      <xdr:row>0</xdr:row>
      <xdr:rowOff>85725</xdr:rowOff>
    </xdr:from>
    <xdr:ext cx="2019300" cy="771525"/>
    <xdr:sp>
      <xdr:nvSpPr>
        <xdr:cNvPr id="5" name="Shape 5"/>
        <xdr:cNvSpPr txBox="1"/>
      </xdr:nvSpPr>
      <xdr:spPr>
        <a:xfrm>
          <a:off x="4341113" y="3399000"/>
          <a:ext cx="2009775" cy="7620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DCF8F0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705725" cy="762000"/>
    <xdr:sp>
      <xdr:nvSpPr>
        <xdr:cNvPr id="6" name="Shape 6"/>
        <xdr:cNvSpPr txBox="1"/>
      </xdr:nvSpPr>
      <xdr:spPr>
        <a:xfrm>
          <a:off x="1497900" y="3403763"/>
          <a:ext cx="769620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1066800</xdr:colOff>
      <xdr:row>1</xdr:row>
      <xdr:rowOff>123825</xdr:rowOff>
    </xdr:from>
    <xdr:ext cx="3028950" cy="485775"/>
    <xdr:sp>
      <xdr:nvSpPr>
        <xdr:cNvPr id="7" name="Shape 7"/>
        <xdr:cNvSpPr txBox="1"/>
      </xdr:nvSpPr>
      <xdr:spPr>
        <a:xfrm>
          <a:off x="3836288" y="3541875"/>
          <a:ext cx="3019425" cy="4762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705725" cy="762000"/>
    <xdr:sp>
      <xdr:nvSpPr>
        <xdr:cNvPr id="8" name="Shape 8"/>
        <xdr:cNvSpPr txBox="1"/>
      </xdr:nvSpPr>
      <xdr:spPr>
        <a:xfrm>
          <a:off x="1497900" y="3403763"/>
          <a:ext cx="769620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Software 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1066800</xdr:colOff>
      <xdr:row>1</xdr:row>
      <xdr:rowOff>123825</xdr:rowOff>
    </xdr:from>
    <xdr:ext cx="3028950" cy="485775"/>
    <xdr:sp>
      <xdr:nvSpPr>
        <xdr:cNvPr id="7" name="Shape 7"/>
        <xdr:cNvSpPr txBox="1"/>
      </xdr:nvSpPr>
      <xdr:spPr>
        <a:xfrm>
          <a:off x="3836288" y="3541875"/>
          <a:ext cx="3019425" cy="4762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705725" cy="762000"/>
    <xdr:sp>
      <xdr:nvSpPr>
        <xdr:cNvPr id="9" name="Shape 9"/>
        <xdr:cNvSpPr txBox="1"/>
      </xdr:nvSpPr>
      <xdr:spPr>
        <a:xfrm>
          <a:off x="1497900" y="3403763"/>
          <a:ext cx="769620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Mano de obra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1066800</xdr:colOff>
      <xdr:row>1</xdr:row>
      <xdr:rowOff>123825</xdr:rowOff>
    </xdr:from>
    <xdr:ext cx="3028950" cy="485775"/>
    <xdr:sp>
      <xdr:nvSpPr>
        <xdr:cNvPr id="7" name="Shape 7"/>
        <xdr:cNvSpPr txBox="1"/>
      </xdr:nvSpPr>
      <xdr:spPr>
        <a:xfrm>
          <a:off x="3836288" y="3541875"/>
          <a:ext cx="3019425" cy="4762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705725" cy="762000"/>
    <xdr:sp>
      <xdr:nvSpPr>
        <xdr:cNvPr id="10" name="Shape 10"/>
        <xdr:cNvSpPr txBox="1"/>
      </xdr:nvSpPr>
      <xdr:spPr>
        <a:xfrm>
          <a:off x="1497900" y="3403763"/>
          <a:ext cx="769620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1</xdr:row>
      <xdr:rowOff>123825</xdr:rowOff>
    </xdr:from>
    <xdr:ext cx="3028950" cy="485775"/>
    <xdr:sp>
      <xdr:nvSpPr>
        <xdr:cNvPr id="7" name="Shape 7"/>
        <xdr:cNvSpPr txBox="1"/>
      </xdr:nvSpPr>
      <xdr:spPr>
        <a:xfrm>
          <a:off x="3836288" y="3541875"/>
          <a:ext cx="3019425" cy="4762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8:L18" displayName="Table_1" name="Table_1" id="1">
  <tableColumns count="11">
    <tableColumn totalsRowLabel="Total" name="PRODUCTO" id="1"/>
    <tableColumn name="CANTIDAD" id="2"/>
    <tableColumn totalsRowFunction="custom" name="Mercado libre" id="3"/>
    <tableColumn totalsRowFunction="custom" name="Amazon" id="4"/>
    <tableColumn totalsRowFunction="custom" name="Katronix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Componenetes de Hardware-style" showColumnStripes="0" showFirstColumn="1" showLastColumn="1" showRowStripes="1"/>
</table>
</file>

<file path=xl/tables/table2.xml><?xml version="1.0" encoding="utf-8"?>
<table xmlns="http://schemas.openxmlformats.org/spreadsheetml/2006/main" ref="B8:N25" displayName="Table_13" name="Table_13" id="2">
  <tableColumns count="13">
    <tableColumn name="CATEGORIA" id="1"/>
    <tableColumn name="CANTIDAD" id="2"/>
    <tableColumn name="Visual Studio code" id="3"/>
    <tableColumn name="Visual Studio pro(anual)" id="4"/>
    <tableColumn name="IntelliJ IDEA" id="5"/>
    <tableColumn name="IntelliJ IDEA Ultimate(anual)" id="6"/>
    <tableColumn name="Android Studio" id="7"/>
    <tableColumn name="Xcode" id="8"/>
    <tableColumn name="PRECIO MÁS BAJO" id="9"/>
    <tableColumn name="PRECIO PROMEDIO" id="10"/>
    <tableColumn name="PRECIO MÁS ALTO" id="11"/>
    <tableColumn name="." id="12"/>
    <tableColumn name="Columna2" id="13"/>
  </tableColumns>
  <tableStyleInfo name="Software-style" showColumnStripes="0" showFirstColumn="1" showLastColumn="1" showRowStripes="1"/>
</table>
</file>

<file path=xl/tables/table3.xml><?xml version="1.0" encoding="utf-8"?>
<table xmlns="http://schemas.openxmlformats.org/spreadsheetml/2006/main" ref="B8:F9" displayName="Table_16" name="Table_16" id="3">
  <tableColumns count="5">
    <tableColumn name="CONCEPTO" id="1"/>
    <tableColumn name="Cantidad" id="2"/>
    <tableColumn name="Salario(Mensual Uni)" id="3"/>
    <tableColumn name="Salario(Anual Uni)" id="4"/>
    <tableColumn name="Salario(Anual General)" id="5"/>
  </tableColumns>
  <tableStyleInfo name="Mano de ob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83"/>
    <col customWidth="1" min="2" max="11" width="22.0"/>
    <col customWidth="1" min="12" max="26" width="12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8.0"/>
    <col customWidth="1" min="5" max="5" width="23.33"/>
    <col customWidth="1" min="6" max="6" width="25.17"/>
    <col customWidth="1" min="7" max="7" width="32.5"/>
    <col customWidth="1" min="8" max="9" width="22.17"/>
    <col customWidth="1" min="10" max="10" width="27.33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6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0" customHeight="1">
      <c r="A6" s="5"/>
      <c r="B6" s="8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2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3</v>
      </c>
      <c r="C8" s="14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4" t="s">
        <v>9</v>
      </c>
      <c r="I8" s="14" t="s">
        <v>10</v>
      </c>
      <c r="J8" s="15" t="s">
        <v>11</v>
      </c>
      <c r="K8" s="16" t="s">
        <v>12</v>
      </c>
      <c r="L8" s="17" t="s">
        <v>13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4.0" customHeight="1">
      <c r="A9" s="18"/>
      <c r="B9" s="19" t="s">
        <v>14</v>
      </c>
      <c r="C9" s="20">
        <v>4.0</v>
      </c>
      <c r="D9" s="21">
        <v>750000.0</v>
      </c>
      <c r="E9" s="22">
        <v>1322000.0</v>
      </c>
      <c r="F9" s="22">
        <v>2399070.0</v>
      </c>
      <c r="G9" s="22"/>
      <c r="H9" s="22"/>
      <c r="I9" s="23"/>
      <c r="J9" s="24">
        <f>MIN('Componenetes de Hardware'!$D9:$I9)</f>
        <v>750000</v>
      </c>
      <c r="K9" s="25">
        <f>IFERROR(AVERAGE('Componenetes de Hardware'!$D9:$I9),0)</f>
        <v>1490356.667</v>
      </c>
      <c r="L9" s="26">
        <f>MAX('Componenetes de Hardware'!$D9:$I9)</f>
        <v>2399070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3.0" customHeight="1">
      <c r="A10" s="18"/>
      <c r="B10" s="27" t="s">
        <v>15</v>
      </c>
      <c r="C10" s="28">
        <v>4.0</v>
      </c>
      <c r="D10" s="29">
        <v>650000.0</v>
      </c>
      <c r="E10" s="30">
        <v>616000.0</v>
      </c>
      <c r="F10" s="30">
        <v>1300000.0</v>
      </c>
      <c r="G10" s="30"/>
      <c r="H10" s="30"/>
      <c r="I10" s="30"/>
      <c r="J10" s="31">
        <f>MIN('Componenetes de Hardware'!$D10:$I10)</f>
        <v>616000</v>
      </c>
      <c r="K10" s="32">
        <f>IFERROR(AVERAGE('Componenetes de Hardware'!$D10:$I10),0)</f>
        <v>855333.3333</v>
      </c>
      <c r="L10" s="26">
        <f>MAX('Componenetes de Hardware'!$D10:$I10)</f>
        <v>1300000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0.0" customHeight="1">
      <c r="A11" s="18"/>
      <c r="B11" s="27" t="s">
        <v>16</v>
      </c>
      <c r="C11" s="28">
        <v>4.0</v>
      </c>
      <c r="D11" s="30">
        <v>190000.0</v>
      </c>
      <c r="E11" s="30">
        <v>597000.0</v>
      </c>
      <c r="F11" s="30">
        <v>500000.0</v>
      </c>
      <c r="G11" s="30"/>
      <c r="H11" s="30"/>
      <c r="I11" s="30"/>
      <c r="J11" s="33">
        <f>MIN('Componenetes de Hardware'!$D11:$I11)</f>
        <v>190000</v>
      </c>
      <c r="K11" s="32">
        <f>IFERROR(AVERAGE('Componenetes de Hardware'!$D11:$I11),0)</f>
        <v>429000</v>
      </c>
      <c r="L11" s="26">
        <f>MAX('Componenetes de Hardware'!$D11:$I11)</f>
        <v>597000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87.0" customHeight="1">
      <c r="A12" s="18"/>
      <c r="B12" s="27" t="s">
        <v>17</v>
      </c>
      <c r="C12" s="28">
        <v>4.0</v>
      </c>
      <c r="D12" s="30">
        <v>165900.0</v>
      </c>
      <c r="E12" s="30">
        <v>251000.0</v>
      </c>
      <c r="F12" s="30">
        <v>500000.0</v>
      </c>
      <c r="G12" s="30"/>
      <c r="H12" s="30"/>
      <c r="I12" s="30"/>
      <c r="J12" s="33">
        <f>MIN('Componenetes de Hardware'!$D12:$I12)</f>
        <v>165900</v>
      </c>
      <c r="K12" s="32">
        <f>IFERROR(AVERAGE('Componenetes de Hardware'!$D12:$I12),0)</f>
        <v>305633.3333</v>
      </c>
      <c r="L12" s="26">
        <f>MAX('Componenetes de Hardware'!$D12:$I12)</f>
        <v>500000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3.75" customHeight="1">
      <c r="A13" s="18"/>
      <c r="B13" s="27" t="s">
        <v>18</v>
      </c>
      <c r="C13" s="28">
        <v>1.0</v>
      </c>
      <c r="D13" s="30">
        <v>6174900.0</v>
      </c>
      <c r="E13" s="30">
        <v>4870800.0</v>
      </c>
      <c r="F13" s="30">
        <v>0.0</v>
      </c>
      <c r="G13" s="30"/>
      <c r="H13" s="30"/>
      <c r="I13" s="30"/>
      <c r="J13" s="33">
        <f>MIN('Componenetes de Hardware'!$D13:$I13)</f>
        <v>0</v>
      </c>
      <c r="K13" s="32">
        <f>IFERROR(AVERAGE('Componenetes de Hardware'!$D13:$I13),0)</f>
        <v>3681900</v>
      </c>
      <c r="L13" s="26">
        <f>MAX('Componenetes de Hardware'!$D13:$I13)</f>
        <v>6174900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6.0" customHeight="1">
      <c r="A14" s="18"/>
      <c r="B14" s="27" t="s">
        <v>19</v>
      </c>
      <c r="C14" s="28">
        <v>4.0</v>
      </c>
      <c r="D14" s="30">
        <v>390000.0</v>
      </c>
      <c r="E14" s="30">
        <v>559000.0</v>
      </c>
      <c r="F14" s="30">
        <v>0.0</v>
      </c>
      <c r="G14" s="30"/>
      <c r="H14" s="30"/>
      <c r="I14" s="30"/>
      <c r="J14" s="34">
        <f>MIN('Componenetes de Hardware'!$D14:$I14)</f>
        <v>0</v>
      </c>
      <c r="K14" s="35">
        <f>IFERROR(AVERAGE('Componenetes de Hardware'!$D14:$I14),0)</f>
        <v>316333.3333</v>
      </c>
      <c r="L14" s="36">
        <f>MAX('Componenetes de Hardware'!$D14:$I14)</f>
        <v>559000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99.75" customHeight="1">
      <c r="A15" s="37"/>
      <c r="B15" s="38" t="s">
        <v>20</v>
      </c>
      <c r="C15" s="39">
        <v>4.0</v>
      </c>
      <c r="D15" s="40">
        <v>125900.0</v>
      </c>
      <c r="E15" s="40">
        <v>123000.0</v>
      </c>
      <c r="F15" s="40">
        <v>119000.0</v>
      </c>
      <c r="G15" s="40"/>
      <c r="H15" s="40"/>
      <c r="I15" s="40"/>
      <c r="J15" s="34">
        <f>MIN('Componenetes de Hardware'!$D15:$I15)</f>
        <v>119000</v>
      </c>
      <c r="K15" s="32">
        <f>IFERROR(AVERAGE('Componenetes de Hardware'!$D15:$I15),0)</f>
        <v>122633.3333</v>
      </c>
      <c r="L15" s="26">
        <f>MAX('Componenetes de Hardware'!$D15:$I15)</f>
        <v>125900</v>
      </c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09.5" customHeight="1">
      <c r="A16" s="37"/>
      <c r="B16" s="38" t="s">
        <v>21</v>
      </c>
      <c r="C16" s="39">
        <v>4.0</v>
      </c>
      <c r="D16" s="40">
        <v>109000.0</v>
      </c>
      <c r="E16" s="40">
        <v>90000.0</v>
      </c>
      <c r="F16" s="40">
        <v>79000.0</v>
      </c>
      <c r="G16" s="40"/>
      <c r="H16" s="40"/>
      <c r="I16" s="40"/>
      <c r="J16" s="34">
        <f>MIN('Componenetes de Hardware'!$D16:$I16)</f>
        <v>79000</v>
      </c>
      <c r="K16" s="32">
        <f>IFERROR(AVERAGE('Componenetes de Hardware'!$D16:$I16),0)</f>
        <v>92666.66667</v>
      </c>
      <c r="L16" s="26">
        <f>MAX('Componenetes de Hardware'!$D16:$I16)</f>
        <v>109000</v>
      </c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83.25" customHeight="1">
      <c r="A17" s="37"/>
      <c r="B17" s="38" t="s">
        <v>22</v>
      </c>
      <c r="C17" s="39">
        <v>4.0</v>
      </c>
      <c r="D17" s="40">
        <v>60000.0</v>
      </c>
      <c r="E17" s="40">
        <v>371000.0</v>
      </c>
      <c r="F17" s="40">
        <v>1090000.0</v>
      </c>
      <c r="G17" s="40"/>
      <c r="H17" s="40"/>
      <c r="I17" s="40"/>
      <c r="J17" s="34">
        <f>MIN('Componenetes de Hardware'!$D17:$I17)</f>
        <v>60000</v>
      </c>
      <c r="K17" s="35">
        <f>IFERROR(AVERAGE('Componenetes de Hardware'!$D17:$I17),0)</f>
        <v>507000</v>
      </c>
      <c r="L17" s="36">
        <f>MAX('Componenetes de Hardware'!$D17:$I17)</f>
        <v>1090000</v>
      </c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75" customHeight="1">
      <c r="A18" s="37"/>
      <c r="B18" s="41" t="s">
        <v>23</v>
      </c>
      <c r="C18" s="41"/>
      <c r="D18" s="42">
        <f>ROUND(SUMPRODUCT('Componenetes de Hardware'!$C$9:$C$17,'Componenetes de Hardware'!$D$9:$D$17),2)</f>
        <v>15938100</v>
      </c>
      <c r="E18" s="42">
        <f>ROUND(SUMPRODUCT('Componenetes de Hardware'!$C$9:$C$17,'Componenetes de Hardware'!$E$9:$E$17),2)</f>
        <v>20586800</v>
      </c>
      <c r="F18" s="42">
        <f>ROUND(SUMPRODUCT('Componenetes de Hardware'!$C$9:$C$17,'Componenetes de Hardware'!$F$9:$F$17),2)</f>
        <v>23948280</v>
      </c>
      <c r="G18" s="42">
        <f>ROUND(SUMPRODUCT('Componenetes de Hardware'!$C$9:$C$17,'Componenetes de Hardware'!$G$9:$G$17),2)</f>
        <v>0</v>
      </c>
      <c r="H18" s="42">
        <f>ROUND(SUMPRODUCT('Componenetes de Hardware'!$C$9:$C$17,'Componenetes de Hardware'!$H$9:$H$17),2)</f>
        <v>0</v>
      </c>
      <c r="I18" s="42">
        <f>ROUND(SUMPRODUCT('Componenetes de Hardware'!$C$9:$C$17,'Componenetes de Hardware'!$I$9:$I$17),2)</f>
        <v>0</v>
      </c>
      <c r="J18" s="43"/>
      <c r="K18" s="43"/>
      <c r="L18" s="44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37"/>
      <c r="B19" s="5"/>
      <c r="C19" s="5"/>
      <c r="D19" s="5"/>
      <c r="E19" s="5"/>
      <c r="F19" s="5"/>
      <c r="G19" s="5"/>
      <c r="H19" s="5"/>
      <c r="I19" s="5"/>
      <c r="J19" s="5"/>
      <c r="K19" s="6"/>
      <c r="L19" s="6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37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48.0" customHeight="1">
      <c r="A21" s="37"/>
      <c r="B21" s="45" t="s">
        <v>24</v>
      </c>
      <c r="C21" s="46"/>
      <c r="D21" s="47"/>
      <c r="E21" s="47"/>
      <c r="F21" s="47"/>
      <c r="G21" s="47"/>
      <c r="H21" s="48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33.0" customHeight="1">
      <c r="A22" s="37"/>
      <c r="B22" s="49" t="s">
        <v>25</v>
      </c>
      <c r="C22" s="50"/>
      <c r="D22" s="51" t="s">
        <v>26</v>
      </c>
      <c r="E22" s="51" t="s">
        <v>27</v>
      </c>
      <c r="F22" s="51" t="s">
        <v>28</v>
      </c>
      <c r="G22" s="51"/>
      <c r="H22" s="51"/>
      <c r="I22" s="51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25.5" customHeight="1">
      <c r="A23" s="37"/>
      <c r="B23" s="49" t="s">
        <v>29</v>
      </c>
      <c r="C23" s="50"/>
      <c r="D23" s="52">
        <v>70000.0</v>
      </c>
      <c r="E23" s="53">
        <v>34000.0</v>
      </c>
      <c r="F23" s="54">
        <v>0.0</v>
      </c>
      <c r="G23" s="54">
        <v>0.0</v>
      </c>
      <c r="H23" s="54">
        <v>0.0</v>
      </c>
      <c r="I23" s="54">
        <v>0.0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8.0" customHeight="1">
      <c r="A24" s="37"/>
      <c r="B24" s="55" t="s">
        <v>30</v>
      </c>
      <c r="C24" s="56"/>
      <c r="D24" s="54"/>
      <c r="E24" s="54"/>
      <c r="F24" s="54"/>
      <c r="G24" s="54"/>
      <c r="H24" s="54"/>
      <c r="I24" s="54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75" customHeight="1">
      <c r="A25" s="37"/>
      <c r="B25" s="57"/>
      <c r="D25" s="51"/>
      <c r="E25" s="51"/>
      <c r="F25" s="51"/>
      <c r="G25" s="51"/>
      <c r="H25" s="51"/>
      <c r="I25" s="51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57"/>
      <c r="D26" s="58" t="s">
        <v>31</v>
      </c>
      <c r="E26" s="58" t="s">
        <v>31</v>
      </c>
      <c r="F26" s="58" t="s">
        <v>31</v>
      </c>
      <c r="G26" s="58" t="s">
        <v>32</v>
      </c>
      <c r="H26" s="58" t="s">
        <v>32</v>
      </c>
      <c r="I26" s="58" t="s">
        <v>32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5"/>
      <c r="B27" s="59"/>
      <c r="C27" s="60"/>
      <c r="D27" s="58" t="s">
        <v>33</v>
      </c>
      <c r="E27" s="58" t="s">
        <v>33</v>
      </c>
      <c r="F27" s="58" t="s">
        <v>33</v>
      </c>
      <c r="G27" s="51"/>
      <c r="H27" s="51"/>
      <c r="I27" s="51"/>
      <c r="J27" s="37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61" t="s">
        <v>23</v>
      </c>
      <c r="C29" s="61"/>
      <c r="D29" s="62">
        <f>SUM('Componenetes de Hardware'!$D$18+D23)</f>
        <v>16008100</v>
      </c>
      <c r="E29" s="62">
        <f>SUM('Componenetes de Hardware'!$E$18+E23)</f>
        <v>20620800</v>
      </c>
      <c r="F29" s="62">
        <f>SUM('Componenetes de Hardware'!$F$18+F23)</f>
        <v>23948280</v>
      </c>
      <c r="G29" s="5"/>
      <c r="H29" s="5"/>
      <c r="I29" s="5"/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G30" s="63"/>
      <c r="H30" s="64"/>
      <c r="I30" s="65"/>
      <c r="J30" s="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65"/>
      <c r="E31" s="65"/>
      <c r="F31" s="66"/>
      <c r="G31" s="67"/>
      <c r="H31" s="64"/>
      <c r="I31" s="65"/>
      <c r="J31" s="5"/>
      <c r="K31" s="6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65"/>
      <c r="E32" s="65"/>
      <c r="F32" s="66"/>
      <c r="G32" s="67"/>
      <c r="H32" s="64"/>
      <c r="I32" s="65"/>
      <c r="J32" s="5"/>
      <c r="K32" s="6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65"/>
      <c r="E33" s="65"/>
      <c r="F33" s="66"/>
      <c r="G33" s="67"/>
      <c r="H33" s="64"/>
      <c r="I33" s="65"/>
      <c r="J33" s="5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65"/>
      <c r="E34" s="65"/>
      <c r="F34" s="66"/>
      <c r="G34" s="67"/>
      <c r="H34" s="64"/>
      <c r="I34" s="65"/>
      <c r="J34" s="5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65"/>
      <c r="E35" s="65"/>
      <c r="F35" s="66"/>
      <c r="G35" s="67"/>
      <c r="H35" s="64"/>
      <c r="I35" s="65"/>
      <c r="J35" s="5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6">
    <mergeCell ref="B6:E6"/>
    <mergeCell ref="J7:L7"/>
    <mergeCell ref="B21:C21"/>
    <mergeCell ref="B22:C22"/>
    <mergeCell ref="B23:C23"/>
    <mergeCell ref="B24:C27"/>
  </mergeCells>
  <conditionalFormatting sqref="B8:C9 D18:I18">
    <cfRule type="expression" dxfId="0" priority="1">
      <formula>AND(B$18=MIN($D$18:$I$18),B$18&lt;&gt;0)</formula>
    </cfRule>
  </conditionalFormatting>
  <conditionalFormatting sqref="D8:I9">
    <cfRule type="expression" dxfId="0" priority="2">
      <formula>AND(D$18=MIN($D$18:$I$18),D$18&lt;&gt;0)</formula>
    </cfRule>
  </conditionalFormatting>
  <conditionalFormatting sqref="D9:I17">
    <cfRule type="expression" dxfId="1" priority="3">
      <formula>AND(D$18=MIN($D$18:$I$18),D$18&lt;&gt;0)</formula>
    </cfRule>
  </conditionalFormatting>
  <conditionalFormatting sqref="D29:F29">
    <cfRule type="expression" dxfId="0" priority="4">
      <formula>AND(D$18=MIN($D$18:$I$18),D$18&lt;&gt;0)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8.0"/>
    <col customWidth="1" min="5" max="5" width="23.33"/>
    <col customWidth="1" min="6" max="6" width="25.17"/>
    <col customWidth="1" min="7" max="7" width="32.5"/>
    <col customWidth="1" min="8" max="9" width="22.17"/>
    <col customWidth="1" min="10" max="10" width="27.33"/>
    <col customWidth="1" min="11" max="11" width="23.5"/>
    <col customWidth="1" min="12" max="12" width="24.83"/>
    <col customWidth="1" min="13" max="13" width="20.33"/>
    <col customWidth="1" hidden="1" min="14" max="14" width="20.67"/>
    <col customWidth="1" min="15" max="15" width="0.5"/>
    <col customWidth="1" min="16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68" t="s">
        <v>34</v>
      </c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8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2</v>
      </c>
      <c r="K7" s="11"/>
      <c r="L7" s="12"/>
      <c r="M7" s="10" t="s">
        <v>23</v>
      </c>
      <c r="N7" s="11"/>
      <c r="O7" s="12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35</v>
      </c>
      <c r="C8" s="14" t="s">
        <v>4</v>
      </c>
      <c r="D8" s="14" t="s">
        <v>36</v>
      </c>
      <c r="E8" s="14" t="s">
        <v>37</v>
      </c>
      <c r="F8" s="14" t="s">
        <v>38</v>
      </c>
      <c r="G8" s="14" t="s">
        <v>39</v>
      </c>
      <c r="H8" s="14" t="s">
        <v>40</v>
      </c>
      <c r="I8" s="14" t="s">
        <v>41</v>
      </c>
      <c r="J8" s="15" t="s">
        <v>11</v>
      </c>
      <c r="K8" s="16" t="s">
        <v>12</v>
      </c>
      <c r="L8" s="17" t="s">
        <v>13</v>
      </c>
      <c r="M8" s="69" t="s">
        <v>42</v>
      </c>
      <c r="N8" s="69" t="s">
        <v>43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4.0" customHeight="1">
      <c r="A9" s="18"/>
      <c r="B9" s="19" t="s">
        <v>44</v>
      </c>
      <c r="C9" s="20">
        <v>4.0</v>
      </c>
      <c r="D9" s="21">
        <v>0.0</v>
      </c>
      <c r="E9" s="22">
        <v>2500000.0</v>
      </c>
      <c r="F9" s="22">
        <v>0.0</v>
      </c>
      <c r="G9" s="22">
        <v>3300000.0</v>
      </c>
      <c r="H9" s="22">
        <v>0.0</v>
      </c>
      <c r="I9" s="23">
        <v>0.0</v>
      </c>
      <c r="J9" s="24">
        <f>MIN(Software!$D9:$I9)</f>
        <v>0</v>
      </c>
      <c r="K9" s="32">
        <f>IFERROR(AVERAGE(Software!$D9:$I9),0)</f>
        <v>966666.6667</v>
      </c>
      <c r="L9" s="26">
        <f>MAX(Software!$D9:$I9)</f>
        <v>3300000</v>
      </c>
      <c r="M9" s="70">
        <f>SUM(Software!$D9:$I9)</f>
        <v>5800000</v>
      </c>
      <c r="N9" s="26">
        <f>MAX(Software!$D9:$I9)</f>
        <v>3300000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60.0" customHeight="1">
      <c r="A10" s="18"/>
      <c r="B10" s="71" t="s">
        <v>35</v>
      </c>
      <c r="C10" s="71" t="s">
        <v>4</v>
      </c>
      <c r="D10" s="71" t="s">
        <v>45</v>
      </c>
      <c r="E10" s="71" t="s">
        <v>46</v>
      </c>
      <c r="F10" s="71" t="s">
        <v>47</v>
      </c>
      <c r="G10" s="71" t="s">
        <v>48</v>
      </c>
      <c r="H10" s="71" t="s">
        <v>49</v>
      </c>
      <c r="I10" s="71" t="s">
        <v>50</v>
      </c>
      <c r="J10" s="72" t="s">
        <v>11</v>
      </c>
      <c r="K10" s="73" t="s">
        <v>12</v>
      </c>
      <c r="L10" s="74" t="s">
        <v>13</v>
      </c>
      <c r="M10" s="75"/>
      <c r="N10" s="76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0.0" customHeight="1">
      <c r="A11" s="18"/>
      <c r="B11" s="27" t="s">
        <v>51</v>
      </c>
      <c r="C11" s="28">
        <v>4.0</v>
      </c>
      <c r="D11" s="27">
        <v>0.0</v>
      </c>
      <c r="E11" s="30">
        <v>1800000.0</v>
      </c>
      <c r="F11" s="30">
        <v>0.0</v>
      </c>
      <c r="G11" s="30">
        <v>0.0</v>
      </c>
      <c r="H11" s="21">
        <v>0.0</v>
      </c>
      <c r="I11" s="30">
        <v>0.0</v>
      </c>
      <c r="J11" s="31">
        <f>MIN(Software!$D11:$I11)</f>
        <v>0</v>
      </c>
      <c r="K11" s="32">
        <f>IFERROR(AVERAGE(Software!$D11:$I11),0)</f>
        <v>300000</v>
      </c>
      <c r="L11" s="26">
        <f>MAX(Software!$D11:$I11)</f>
        <v>1800000</v>
      </c>
      <c r="M11" s="75">
        <f>SUM(D11:I11)</f>
        <v>1800000</v>
      </c>
      <c r="N11" s="76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63.0" customHeight="1">
      <c r="A12" s="18"/>
      <c r="B12" s="71" t="s">
        <v>35</v>
      </c>
      <c r="C12" s="71" t="s">
        <v>4</v>
      </c>
      <c r="D12" s="71" t="s">
        <v>52</v>
      </c>
      <c r="E12" s="71" t="s">
        <v>53</v>
      </c>
      <c r="F12" s="71" t="s">
        <v>54</v>
      </c>
      <c r="G12" s="71" t="s">
        <v>55</v>
      </c>
      <c r="H12" s="71" t="s">
        <v>56</v>
      </c>
      <c r="I12" s="71" t="s">
        <v>57</v>
      </c>
      <c r="J12" s="72" t="s">
        <v>11</v>
      </c>
      <c r="K12" s="73" t="s">
        <v>12</v>
      </c>
      <c r="L12" s="74" t="s">
        <v>13</v>
      </c>
      <c r="M12" s="75"/>
      <c r="N12" s="76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63.5" customHeight="1">
      <c r="A13" s="18"/>
      <c r="B13" s="27" t="s">
        <v>58</v>
      </c>
      <c r="C13" s="28">
        <v>1.0</v>
      </c>
      <c r="D13" s="30">
        <v>3000000.0</v>
      </c>
      <c r="E13" s="21">
        <v>0.0</v>
      </c>
      <c r="F13" s="21">
        <v>0.0</v>
      </c>
      <c r="G13" s="21">
        <v>0.0</v>
      </c>
      <c r="H13" s="21">
        <v>0.0</v>
      </c>
      <c r="I13" s="21">
        <v>0.0</v>
      </c>
      <c r="J13" s="33">
        <f>MIN(Software!$D13:$I13)</f>
        <v>0</v>
      </c>
      <c r="K13" s="32">
        <f>IFERROR(AVERAGE(Software!$D13:$I13),0)</f>
        <v>500000</v>
      </c>
      <c r="L13" s="26">
        <f>MAX(Software!$D13:$I13)</f>
        <v>3000000</v>
      </c>
      <c r="M13" s="75">
        <f>SUM(D13:I13)</f>
        <v>3000000</v>
      </c>
      <c r="N13" s="76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69.0" customHeight="1">
      <c r="A14" s="18"/>
      <c r="B14" s="71" t="s">
        <v>35</v>
      </c>
      <c r="C14" s="71" t="s">
        <v>4</v>
      </c>
      <c r="D14" s="71" t="s">
        <v>59</v>
      </c>
      <c r="E14" s="71" t="s">
        <v>60</v>
      </c>
      <c r="F14" s="71" t="s">
        <v>61</v>
      </c>
      <c r="G14" s="71" t="s">
        <v>62</v>
      </c>
      <c r="H14" s="71" t="s">
        <v>63</v>
      </c>
      <c r="I14" s="71" t="s">
        <v>64</v>
      </c>
      <c r="J14" s="72" t="s">
        <v>11</v>
      </c>
      <c r="K14" s="73" t="s">
        <v>12</v>
      </c>
      <c r="L14" s="74" t="s">
        <v>13</v>
      </c>
      <c r="M14" s="75"/>
      <c r="N14" s="76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6.0" customHeight="1">
      <c r="A15" s="37"/>
      <c r="B15" s="38" t="s">
        <v>65</v>
      </c>
      <c r="C15" s="39">
        <v>1.0</v>
      </c>
      <c r="D15" s="40">
        <v>0.0</v>
      </c>
      <c r="E15" s="40">
        <v>5000000.0</v>
      </c>
      <c r="F15" s="40">
        <v>0.0</v>
      </c>
      <c r="G15" s="40">
        <v>1350000.0</v>
      </c>
      <c r="H15" s="77">
        <v>0.0</v>
      </c>
      <c r="I15" s="40">
        <v>0.0</v>
      </c>
      <c r="J15" s="34">
        <f>MIN(Software!$D15:$I15)</f>
        <v>0</v>
      </c>
      <c r="K15" s="32">
        <f>IFERROR(AVERAGE(Software!$D15:$I15),0)</f>
        <v>1058333.333</v>
      </c>
      <c r="L15" s="26">
        <f>MAX(Software!$D15:$I15)</f>
        <v>5000000</v>
      </c>
      <c r="M15" s="78">
        <f>SUM(D15:I15)</f>
        <v>6350000</v>
      </c>
      <c r="N15" s="79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60.75" customHeight="1">
      <c r="A16" s="37"/>
      <c r="B16" s="71" t="s">
        <v>35</v>
      </c>
      <c r="C16" s="71" t="s">
        <v>4</v>
      </c>
      <c r="D16" s="71" t="s">
        <v>66</v>
      </c>
      <c r="E16" s="71" t="s">
        <v>67</v>
      </c>
      <c r="F16" s="71" t="s">
        <v>68</v>
      </c>
      <c r="G16" s="71" t="s">
        <v>69</v>
      </c>
      <c r="H16" s="71" t="s">
        <v>70</v>
      </c>
      <c r="I16" s="71"/>
      <c r="J16" s="72" t="s">
        <v>11</v>
      </c>
      <c r="K16" s="73" t="s">
        <v>12</v>
      </c>
      <c r="L16" s="74" t="s">
        <v>13</v>
      </c>
      <c r="M16" s="80"/>
      <c r="N16" s="79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3.0" customHeight="1">
      <c r="A17" s="37"/>
      <c r="B17" s="27" t="s">
        <v>71</v>
      </c>
      <c r="C17" s="39">
        <v>4.0</v>
      </c>
      <c r="D17" s="77">
        <v>0.0</v>
      </c>
      <c r="E17" s="40">
        <v>670000.0</v>
      </c>
      <c r="F17" s="40">
        <v>550000.0</v>
      </c>
      <c r="G17" s="40">
        <v>0.0</v>
      </c>
      <c r="H17" s="40">
        <v>500000.0</v>
      </c>
      <c r="I17" s="40"/>
      <c r="J17" s="34">
        <f>MIN(Software!$D17:$I17)</f>
        <v>0</v>
      </c>
      <c r="K17" s="35">
        <f>IFERROR(AVERAGE(Software!$D17:$I17),0)</f>
        <v>344000</v>
      </c>
      <c r="L17" s="36">
        <f>MAX(Software!$D17:$I17)</f>
        <v>670000</v>
      </c>
      <c r="M17" s="81">
        <f>SUM(D17:I17)</f>
        <v>1720000</v>
      </c>
      <c r="N17" s="79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60.0" customHeight="1">
      <c r="A18" s="37"/>
      <c r="B18" s="71" t="s">
        <v>35</v>
      </c>
      <c r="C18" s="71" t="s">
        <v>4</v>
      </c>
      <c r="D18" s="71" t="s">
        <v>72</v>
      </c>
      <c r="E18" s="71" t="s">
        <v>73</v>
      </c>
      <c r="F18" s="71" t="s">
        <v>74</v>
      </c>
      <c r="G18" s="71" t="s">
        <v>75</v>
      </c>
      <c r="H18" s="71" t="s">
        <v>76</v>
      </c>
      <c r="I18" s="71" t="s">
        <v>77</v>
      </c>
      <c r="J18" s="72" t="s">
        <v>11</v>
      </c>
      <c r="K18" s="73" t="s">
        <v>12</v>
      </c>
      <c r="L18" s="74" t="s">
        <v>13</v>
      </c>
      <c r="M18" s="81"/>
      <c r="N18" s="79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47.0" customHeight="1">
      <c r="A19" s="37"/>
      <c r="B19" s="27" t="s">
        <v>78</v>
      </c>
      <c r="C19" s="39">
        <v>4.0</v>
      </c>
      <c r="D19" s="77">
        <v>0.0</v>
      </c>
      <c r="E19" s="40">
        <v>460000.0</v>
      </c>
      <c r="F19" s="40">
        <v>0.0</v>
      </c>
      <c r="G19" s="40">
        <v>160000.0</v>
      </c>
      <c r="H19" s="40">
        <v>0.0</v>
      </c>
      <c r="I19" s="40">
        <v>1400000.0</v>
      </c>
      <c r="J19" s="34">
        <f>MIN(Software!$D19:$I19)</f>
        <v>0</v>
      </c>
      <c r="K19" s="35">
        <f>IFERROR(AVERAGE(Software!$D19:$I19),0)</f>
        <v>336666.6667</v>
      </c>
      <c r="L19" s="36">
        <f>MAX(Software!$D19:$I19)</f>
        <v>1400000</v>
      </c>
      <c r="M19" s="81">
        <f>SUM(D19:I19)</f>
        <v>2020000</v>
      </c>
      <c r="N19" s="79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41.25" customHeight="1">
      <c r="A20" s="37"/>
      <c r="B20" s="71" t="s">
        <v>35</v>
      </c>
      <c r="C20" s="71" t="s">
        <v>4</v>
      </c>
      <c r="D20" s="71" t="s">
        <v>79</v>
      </c>
      <c r="E20" s="71" t="s">
        <v>80</v>
      </c>
      <c r="F20" s="71" t="s">
        <v>81</v>
      </c>
      <c r="G20" s="71" t="s">
        <v>82</v>
      </c>
      <c r="H20" s="71" t="s">
        <v>83</v>
      </c>
      <c r="I20" s="71" t="s">
        <v>84</v>
      </c>
      <c r="J20" s="72" t="s">
        <v>11</v>
      </c>
      <c r="K20" s="73" t="s">
        <v>12</v>
      </c>
      <c r="L20" s="74" t="s">
        <v>13</v>
      </c>
      <c r="M20" s="81"/>
      <c r="N20" s="79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34.25" customHeight="1">
      <c r="A21" s="37"/>
      <c r="B21" s="27" t="s">
        <v>85</v>
      </c>
      <c r="C21" s="39">
        <v>4.0</v>
      </c>
      <c r="D21" s="77">
        <v>0.0</v>
      </c>
      <c r="E21" s="40">
        <v>500000.0</v>
      </c>
      <c r="F21" s="40">
        <v>0.0</v>
      </c>
      <c r="G21" s="40">
        <v>0.0</v>
      </c>
      <c r="H21" s="40">
        <v>0.0</v>
      </c>
      <c r="I21" s="40">
        <v>0.0</v>
      </c>
      <c r="J21" s="34">
        <f>MIN(Software!$D21:$I21)</f>
        <v>0</v>
      </c>
      <c r="K21" s="35">
        <f>IFERROR(AVERAGE(Software!$D21:$I21),0)</f>
        <v>83333.33333</v>
      </c>
      <c r="L21" s="36">
        <f>MAX(Software!$D21:$I21)</f>
        <v>500000</v>
      </c>
      <c r="M21" s="81">
        <f>SUM(D21:I21)</f>
        <v>500000</v>
      </c>
      <c r="N21" s="79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48.0" customHeight="1">
      <c r="A22" s="37"/>
      <c r="B22" s="71" t="s">
        <v>35</v>
      </c>
      <c r="C22" s="71" t="s">
        <v>4</v>
      </c>
      <c r="D22" s="71" t="s">
        <v>86</v>
      </c>
      <c r="E22" s="71" t="s">
        <v>87</v>
      </c>
      <c r="F22" s="71" t="s">
        <v>88</v>
      </c>
      <c r="G22" s="71" t="s">
        <v>88</v>
      </c>
      <c r="H22" s="71" t="s">
        <v>89</v>
      </c>
      <c r="I22" s="71" t="s">
        <v>90</v>
      </c>
      <c r="J22" s="72" t="s">
        <v>11</v>
      </c>
      <c r="K22" s="73" t="s">
        <v>12</v>
      </c>
      <c r="L22" s="74" t="s">
        <v>13</v>
      </c>
      <c r="M22" s="82"/>
      <c r="N22" s="83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40.25" customHeight="1">
      <c r="A23" s="5"/>
      <c r="B23" s="27" t="s">
        <v>91</v>
      </c>
      <c r="C23" s="84">
        <v>4.0</v>
      </c>
      <c r="D23" s="77">
        <v>0.0</v>
      </c>
      <c r="E23" s="77">
        <v>460000.0</v>
      </c>
      <c r="F23" s="77">
        <v>0.0</v>
      </c>
      <c r="G23" s="77">
        <v>632000.0</v>
      </c>
      <c r="H23" s="77">
        <v>0.0</v>
      </c>
      <c r="I23" s="77">
        <v>902000.0</v>
      </c>
      <c r="J23" s="34">
        <f>MIN(Software!$D23:$I23)</f>
        <v>0</v>
      </c>
      <c r="K23" s="35">
        <f>IFERROR(AVERAGE(Software!$D23:$I23),0)</f>
        <v>332333.3333</v>
      </c>
      <c r="L23" s="36">
        <f>MAX(Software!$D23:$I23)</f>
        <v>902000</v>
      </c>
      <c r="M23" s="78">
        <f>SUM(D23:I23)</f>
        <v>1994000</v>
      </c>
      <c r="N23" s="8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6.5" customHeight="1">
      <c r="A24" s="5"/>
      <c r="B24" s="71" t="s">
        <v>35</v>
      </c>
      <c r="C24" s="71" t="s">
        <v>4</v>
      </c>
      <c r="D24" s="71" t="s">
        <v>92</v>
      </c>
      <c r="E24" s="71" t="s">
        <v>93</v>
      </c>
      <c r="F24" s="71" t="s">
        <v>94</v>
      </c>
      <c r="G24" s="71" t="s">
        <v>95</v>
      </c>
      <c r="H24" s="71" t="s">
        <v>96</v>
      </c>
      <c r="I24" s="71"/>
      <c r="J24" s="72" t="s">
        <v>11</v>
      </c>
      <c r="K24" s="73" t="s">
        <v>12</v>
      </c>
      <c r="L24" s="74" t="s">
        <v>13</v>
      </c>
      <c r="M24" s="82"/>
      <c r="N24" s="8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27.5" customHeight="1">
      <c r="A25" s="5"/>
      <c r="B25" s="27" t="s">
        <v>97</v>
      </c>
      <c r="C25" s="39">
        <v>1.0</v>
      </c>
      <c r="D25" s="40">
        <v>1740000.0</v>
      </c>
      <c r="E25" s="40">
        <v>780000.0</v>
      </c>
      <c r="F25" s="40">
        <v>1084800.0</v>
      </c>
      <c r="G25" s="40">
        <v>1800000.0</v>
      </c>
      <c r="H25" s="40">
        <v>600000.0</v>
      </c>
      <c r="I25" s="40">
        <v>902000.0</v>
      </c>
      <c r="J25" s="34">
        <f>MIN(Software!$D25:$I25)</f>
        <v>600000</v>
      </c>
      <c r="K25" s="35">
        <f>IFERROR(AVERAGE(Software!$D25:$I25),0)</f>
        <v>1151133.333</v>
      </c>
      <c r="L25" s="36">
        <f>MAX(Software!$D25:$I25)</f>
        <v>1800000</v>
      </c>
      <c r="M25" s="78">
        <f>SUM(D25:I25)</f>
        <v>6906800</v>
      </c>
      <c r="N25" s="79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4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51.75" customHeight="1">
      <c r="A27" s="5"/>
      <c r="B27" s="85" t="s">
        <v>98</v>
      </c>
      <c r="C27" s="85" t="s">
        <v>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94.5" customHeight="1">
      <c r="A28" s="5"/>
      <c r="B28" s="86" t="s">
        <v>99</v>
      </c>
      <c r="C28" s="87">
        <v>1.0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95.25" customHeight="1">
      <c r="A29" s="5"/>
      <c r="B29" s="86" t="s">
        <v>100</v>
      </c>
      <c r="C29" s="87">
        <v>1.0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93.75" customHeight="1">
      <c r="A30" s="5"/>
      <c r="B30" s="86" t="s">
        <v>101</v>
      </c>
      <c r="C30" s="87">
        <v>1.0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  <c r="O37" s="5"/>
      <c r="P37" s="5"/>
      <c r="Q37" s="6"/>
      <c r="R37" s="6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  <c r="O38" s="5"/>
      <c r="P38" s="5"/>
      <c r="Q38" s="6"/>
      <c r="R38" s="6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6"/>
      <c r="M39" s="5"/>
      <c r="N39" s="5"/>
      <c r="O39" s="5"/>
      <c r="P39" s="5"/>
      <c r="Q39" s="6"/>
      <c r="R39" s="6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5"/>
      <c r="N40" s="5"/>
      <c r="O40" s="5"/>
      <c r="P40" s="5"/>
      <c r="Q40" s="6"/>
      <c r="R40" s="6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6"/>
      <c r="R41" s="6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6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5:F5"/>
    <mergeCell ref="B6:E6"/>
    <mergeCell ref="J7:L7"/>
    <mergeCell ref="M7:O7"/>
  </mergeCells>
  <conditionalFormatting sqref="B8:I10 B12:I12 B14:I14 B16:I16 B18:I18 B20:I20 B22:I22 B24:I24">
    <cfRule type="expression" dxfId="0" priority="1">
      <formula>AND(#REF!=MIN(#REF!),#REF!&lt;&gt;0)</formula>
    </cfRule>
  </conditionalFormatting>
  <conditionalFormatting sqref="D9:I9 D11:I11 D13:I13 D15:I15 D17:I17 D19:I19 D21:I21 D23:I23 D25:I25">
    <cfRule type="expression" dxfId="1" priority="2">
      <formula>AND(#REF!=MIN(#REF!),#REF!&lt;&gt;0)</formula>
    </cfRule>
  </conditionalFormatting>
  <conditionalFormatting sqref="B27:C27">
    <cfRule type="expression" dxfId="0" priority="3">
      <formula>AND(#REF!=MIN(#REF!),#REF!&lt;&gt;0)</formula>
    </cfRule>
  </conditionalFormatting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33.83"/>
    <col customWidth="1" min="3" max="3" width="46.83"/>
    <col customWidth="1" min="4" max="4" width="44.83"/>
    <col customWidth="1" min="5" max="5" width="35.83"/>
    <col customWidth="1" min="6" max="6" width="33.5"/>
    <col customWidth="1" min="7" max="7" width="32.5"/>
    <col customWidth="1" min="8" max="9" width="22.17"/>
    <col customWidth="1" min="10" max="10" width="27.33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6.75" customHeight="1">
      <c r="A5" s="5"/>
      <c r="B5" s="68" t="s">
        <v>102</v>
      </c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0" customHeight="1">
      <c r="A6" s="5"/>
      <c r="B6" s="8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2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103</v>
      </c>
      <c r="C8" s="14" t="s">
        <v>104</v>
      </c>
      <c r="D8" s="14" t="s">
        <v>105</v>
      </c>
      <c r="E8" s="14" t="s">
        <v>106</v>
      </c>
      <c r="F8" s="14" t="s">
        <v>107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ht="150.0" customHeight="1">
      <c r="A9" s="18"/>
      <c r="B9" s="88" t="s">
        <v>108</v>
      </c>
      <c r="C9" s="20">
        <v>4.0</v>
      </c>
      <c r="D9" s="88">
        <v>4000000.0</v>
      </c>
      <c r="E9" s="22">
        <f>'Mano de obra'!$D9*12</f>
        <v>48000000</v>
      </c>
      <c r="F9" s="22">
        <f>'Mano de obra'!$D9*'Mano de obra'!$C9*12</f>
        <v>192000000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ht="150.75" customHeight="1">
      <c r="A10" s="18"/>
      <c r="B10" s="89" t="s">
        <v>109</v>
      </c>
      <c r="C10" s="90"/>
      <c r="D10" s="3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ht="150.0" customHeight="1">
      <c r="A11" s="18"/>
      <c r="B11" s="90"/>
      <c r="C11" s="90"/>
      <c r="D11" s="3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ht="150.0" customHeight="1">
      <c r="A12" s="18"/>
      <c r="B12" s="90"/>
      <c r="C12" s="90"/>
      <c r="D12" s="37"/>
      <c r="E12" s="9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ht="149.25" customHeight="1">
      <c r="A13" s="18"/>
      <c r="B13" s="90"/>
      <c r="C13" s="90"/>
      <c r="D13" s="5"/>
      <c r="E13" s="3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ht="99.75" customHeight="1">
      <c r="A14" s="37"/>
      <c r="B14" s="90"/>
      <c r="C14" s="90"/>
      <c r="D14" s="5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ht="109.5" customHeight="1">
      <c r="A15" s="37"/>
      <c r="B15" s="5"/>
      <c r="C15" s="5"/>
      <c r="D15" s="65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</row>
    <row r="16" ht="83.25" customHeight="1">
      <c r="A16" s="37"/>
      <c r="B16" s="5"/>
      <c r="C16" s="5"/>
      <c r="D16" s="65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</row>
    <row r="17" ht="12.75" customHeight="1">
      <c r="A17" s="37"/>
      <c r="B17" s="5"/>
      <c r="C17" s="5"/>
      <c r="D17" s="65"/>
      <c r="E17" s="5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</row>
    <row r="18" ht="12.75" customHeight="1">
      <c r="A18" s="37"/>
      <c r="B18" s="5"/>
      <c r="C18" s="5"/>
      <c r="D18" s="65"/>
      <c r="E18" s="5"/>
      <c r="F18" s="5"/>
      <c r="G18" s="5"/>
      <c r="H18" s="5"/>
      <c r="I18" s="5"/>
      <c r="J18" s="5"/>
      <c r="K18" s="6"/>
      <c r="L18" s="6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37"/>
      <c r="B19" s="5"/>
      <c r="C19" s="5"/>
      <c r="D19" s="65"/>
      <c r="E19" s="65"/>
      <c r="F19" s="5"/>
      <c r="G19" s="5"/>
      <c r="H19" s="5"/>
      <c r="I19" s="5"/>
      <c r="J19" s="5"/>
      <c r="K19" s="6"/>
      <c r="L19" s="6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5"/>
      <c r="B20" s="5"/>
      <c r="C20" s="5"/>
      <c r="D20" s="65"/>
      <c r="E20" s="65"/>
      <c r="F20" s="66"/>
      <c r="G20" s="63"/>
      <c r="H20" s="64"/>
      <c r="I20" s="65"/>
      <c r="J20" s="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65"/>
      <c r="F21" s="66"/>
      <c r="G21" s="67"/>
      <c r="H21" s="64"/>
      <c r="I21" s="65"/>
      <c r="J21" s="5"/>
      <c r="K21" s="6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65"/>
      <c r="F22" s="66"/>
      <c r="G22" s="67"/>
      <c r="H22" s="64"/>
      <c r="I22" s="65"/>
      <c r="J22" s="5"/>
      <c r="K22" s="6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65"/>
      <c r="F23" s="66"/>
      <c r="G23" s="67"/>
      <c r="H23" s="64"/>
      <c r="I23" s="65"/>
      <c r="J23" s="5"/>
      <c r="K23" s="6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65"/>
      <c r="F24" s="66"/>
      <c r="G24" s="67"/>
      <c r="H24" s="64"/>
      <c r="I24" s="65"/>
      <c r="J24" s="5"/>
      <c r="K24" s="6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66"/>
      <c r="G25" s="67"/>
      <c r="H25" s="64"/>
      <c r="I25" s="65"/>
      <c r="J25" s="5"/>
      <c r="K25" s="6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5:E5"/>
    <mergeCell ref="B6:E6"/>
    <mergeCell ref="J7:L7"/>
  </mergeCells>
  <conditionalFormatting sqref="B8:F9">
    <cfRule type="expression" dxfId="0" priority="1">
      <formula>AND(#REF!=MIN(#REF!),#REF!&lt;&gt;0)</formula>
    </cfRule>
  </conditionalFormatting>
  <conditionalFormatting sqref="B9:F9">
    <cfRule type="expression" dxfId="1" priority="2">
      <formula>AND(#REF!=MIN(#REF!),#REF!&lt;&gt;0)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47.5"/>
    <col customWidth="1" min="3" max="3" width="30.33"/>
    <col customWidth="1" min="4" max="4" width="27.33"/>
    <col customWidth="1" min="5" max="5" width="23.5"/>
    <col customWidth="1" min="6" max="6" width="24.83"/>
    <col customWidth="1" min="7" max="7" width="20.5"/>
    <col customWidth="1" min="8" max="8" width="20.67"/>
    <col customWidth="1" min="9" max="20" width="9.33"/>
  </cols>
  <sheetData>
    <row r="1" ht="15.0" customHeight="1">
      <c r="A1" s="5"/>
      <c r="B1" s="5"/>
      <c r="C1" s="5"/>
      <c r="D1" s="5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54.75" customHeight="1">
      <c r="A2" s="5"/>
      <c r="B2" s="2"/>
      <c r="C2" s="2"/>
      <c r="D2" s="7"/>
      <c r="E2" s="7"/>
      <c r="F2" s="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5.0" customHeight="1">
      <c r="A3" s="5"/>
      <c r="B3" s="5"/>
      <c r="C3" s="5"/>
      <c r="D3" s="5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2.75" customHeight="1">
      <c r="A4" s="37"/>
      <c r="B4" s="5"/>
      <c r="C4" s="5"/>
      <c r="D4" s="5"/>
      <c r="E4" s="6"/>
      <c r="F4" s="6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ht="48.0" customHeight="1">
      <c r="A5" s="37"/>
      <c r="B5" s="47"/>
      <c r="C5" s="4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</row>
    <row r="6" ht="33.0" customHeight="1">
      <c r="A6" s="37"/>
      <c r="B6" s="51" t="s">
        <v>110</v>
      </c>
      <c r="C6" s="51" t="s">
        <v>111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ht="26.25" customHeight="1">
      <c r="A7" s="37"/>
      <c r="B7" s="52" t="s">
        <v>112</v>
      </c>
      <c r="C7" s="62">
        <v>1.60081E7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</row>
    <row r="8" ht="24.0" customHeight="1">
      <c r="A8" s="37"/>
      <c r="B8" s="54" t="s">
        <v>34</v>
      </c>
      <c r="C8" s="92">
        <v>2308800.0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ht="24.0" customHeight="1">
      <c r="A9" s="37"/>
      <c r="B9" s="51" t="s">
        <v>102</v>
      </c>
      <c r="C9" s="93">
        <v>1.92E8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ht="24.75" customHeight="1">
      <c r="A10" s="37"/>
      <c r="B10" s="58" t="s">
        <v>113</v>
      </c>
      <c r="C10" s="62">
        <v>900000.0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ht="24.75" customHeight="1">
      <c r="A11" s="5"/>
      <c r="B11" s="58" t="s">
        <v>114</v>
      </c>
      <c r="C11" s="94">
        <f>SUM(C7:C10)</f>
        <v>211216900</v>
      </c>
      <c r="D11" s="3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12.75" customHeight="1">
      <c r="A12" s="5"/>
      <c r="B12" s="5"/>
      <c r="C12" s="5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12.75" customHeight="1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12.75" customHeight="1">
      <c r="A14" s="5"/>
      <c r="B14" s="65"/>
      <c r="C14" s="65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12.75" customHeight="1">
      <c r="A15" s="5"/>
      <c r="B15" s="65"/>
      <c r="C15" s="65"/>
      <c r="D15" s="5"/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12.75" customHeight="1">
      <c r="A16" s="5"/>
      <c r="B16" s="65"/>
      <c r="C16" s="65"/>
      <c r="D16" s="5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2.75" customHeight="1">
      <c r="A17" s="5"/>
      <c r="B17" s="65"/>
      <c r="C17" s="65"/>
      <c r="D17" s="5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12.75" customHeight="1">
      <c r="A18" s="5"/>
      <c r="B18" s="65"/>
      <c r="C18" s="65"/>
      <c r="D18" s="5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12.75" customHeight="1">
      <c r="A19" s="5"/>
      <c r="B19" s="65"/>
      <c r="C19" s="65"/>
      <c r="D19" s="5"/>
      <c r="E19" s="6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12.75" customHeight="1">
      <c r="A20" s="5"/>
      <c r="B20" s="5"/>
      <c r="C20" s="5"/>
      <c r="D20" s="5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2.75" customHeight="1">
      <c r="A21" s="5"/>
      <c r="B21" s="5"/>
      <c r="C21" s="5"/>
      <c r="D21" s="5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2.75" customHeight="1">
      <c r="A22" s="5"/>
      <c r="B22" s="5"/>
      <c r="C22" s="5"/>
      <c r="D22" s="5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2.75" customHeight="1">
      <c r="A23" s="5"/>
      <c r="B23" s="5"/>
      <c r="C23" s="5"/>
      <c r="D23" s="5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2.75" customHeight="1">
      <c r="A24" s="5"/>
      <c r="B24" s="5"/>
      <c r="C24" s="5"/>
      <c r="D24" s="5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2.75" customHeight="1">
      <c r="A25" s="5"/>
      <c r="B25" s="5"/>
      <c r="C25" s="5"/>
      <c r="D25" s="5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2.75" customHeight="1">
      <c r="A26" s="5"/>
      <c r="B26" s="5"/>
      <c r="C26" s="5"/>
      <c r="D26" s="5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2.75" customHeight="1">
      <c r="A27" s="5"/>
      <c r="B27" s="5"/>
      <c r="C27" s="5"/>
      <c r="D27" s="5"/>
      <c r="E27" s="6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2.75" customHeight="1">
      <c r="A28" s="5"/>
      <c r="B28" s="5"/>
      <c r="C28" s="5"/>
      <c r="D28" s="5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2.75" customHeight="1">
      <c r="A29" s="5"/>
      <c r="B29" s="5"/>
      <c r="C29" s="5"/>
      <c r="D29" s="5"/>
      <c r="E29" s="6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2.75" customHeight="1">
      <c r="A30" s="5"/>
      <c r="B30" s="5"/>
      <c r="C30" s="5"/>
      <c r="D30" s="5"/>
      <c r="E30" s="6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2.75" customHeight="1">
      <c r="A31" s="5"/>
      <c r="B31" s="5"/>
      <c r="C31" s="5"/>
      <c r="D31" s="5"/>
      <c r="E31" s="6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2.75" customHeight="1">
      <c r="A32" s="5"/>
      <c r="B32" s="5"/>
      <c r="C32" s="5"/>
      <c r="D32" s="5"/>
      <c r="E32" s="6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2.75" customHeight="1">
      <c r="A33" s="5"/>
      <c r="B33" s="5"/>
      <c r="C33" s="5"/>
      <c r="D33" s="5"/>
      <c r="E33" s="6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2.75" customHeight="1">
      <c r="A34" s="5"/>
      <c r="B34" s="5"/>
      <c r="C34" s="5"/>
      <c r="D34" s="5"/>
      <c r="E34" s="6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2.75" customHeight="1">
      <c r="A35" s="5"/>
      <c r="B35" s="5"/>
      <c r="C35" s="5"/>
      <c r="D35" s="5"/>
      <c r="E35" s="6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2.75" customHeight="1">
      <c r="A36" s="5"/>
      <c r="B36" s="5"/>
      <c r="C36" s="5"/>
      <c r="D36" s="5"/>
      <c r="E36" s="6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2.75" customHeight="1">
      <c r="A37" s="5"/>
      <c r="B37" s="5"/>
      <c r="C37" s="5"/>
      <c r="D37" s="5"/>
      <c r="E37" s="6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2.75" customHeight="1">
      <c r="A38" s="5"/>
      <c r="B38" s="5"/>
      <c r="C38" s="5"/>
      <c r="D38" s="5"/>
      <c r="E38" s="6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2.75" customHeight="1">
      <c r="A39" s="5"/>
      <c r="B39" s="5"/>
      <c r="C39" s="5"/>
      <c r="D39" s="5"/>
      <c r="E39" s="6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2.75" customHeight="1">
      <c r="A40" s="5"/>
      <c r="B40" s="5"/>
      <c r="C40" s="5"/>
      <c r="D40" s="5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2.75" customHeight="1">
      <c r="A41" s="5"/>
      <c r="B41" s="5"/>
      <c r="C41" s="5"/>
      <c r="D41" s="5"/>
      <c r="E41" s="6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2.75" customHeight="1">
      <c r="A42" s="5"/>
      <c r="B42" s="5"/>
      <c r="C42" s="5"/>
      <c r="D42" s="5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2.75" customHeight="1">
      <c r="A43" s="5"/>
      <c r="B43" s="5"/>
      <c r="C43" s="5"/>
      <c r="D43" s="5"/>
      <c r="E43" s="6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2.75" customHeight="1">
      <c r="A44" s="5"/>
      <c r="B44" s="5"/>
      <c r="C44" s="5"/>
      <c r="D44" s="5"/>
      <c r="E44" s="6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2.75" customHeight="1">
      <c r="A45" s="5"/>
      <c r="B45" s="5"/>
      <c r="C45" s="5"/>
      <c r="D45" s="5"/>
      <c r="E45" s="6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2.75" customHeight="1">
      <c r="A46" s="5"/>
      <c r="B46" s="5"/>
      <c r="C46" s="5"/>
      <c r="D46" s="5"/>
      <c r="E46" s="6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2.75" customHeight="1">
      <c r="A47" s="5"/>
      <c r="B47" s="5"/>
      <c r="C47" s="5"/>
      <c r="D47" s="5"/>
      <c r="E47" s="6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2.75" customHeight="1">
      <c r="A48" s="5"/>
      <c r="B48" s="5"/>
      <c r="C48" s="5"/>
      <c r="D48" s="5"/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2.75" customHeight="1">
      <c r="A49" s="5"/>
      <c r="B49" s="5"/>
      <c r="C49" s="5"/>
      <c r="D49" s="5"/>
      <c r="E49" s="6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2.75" customHeight="1">
      <c r="A50" s="5"/>
      <c r="B50" s="5"/>
      <c r="C50" s="5"/>
      <c r="D50" s="5"/>
      <c r="E50" s="6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2.75" customHeight="1">
      <c r="A51" s="5"/>
      <c r="B51" s="5"/>
      <c r="C51" s="5"/>
      <c r="D51" s="5"/>
      <c r="E51" s="6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2.75" customHeight="1">
      <c r="A52" s="5"/>
      <c r="B52" s="5"/>
      <c r="C52" s="5"/>
      <c r="D52" s="5"/>
      <c r="E52" s="6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2.75" customHeight="1">
      <c r="A53" s="5"/>
      <c r="B53" s="5"/>
      <c r="C53" s="5"/>
      <c r="D53" s="5"/>
      <c r="E53" s="6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2.75" customHeight="1">
      <c r="A54" s="5"/>
      <c r="B54" s="5"/>
      <c r="C54" s="5"/>
      <c r="D54" s="5"/>
      <c r="E54" s="6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2.75" customHeight="1">
      <c r="A55" s="5"/>
      <c r="B55" s="5"/>
      <c r="C55" s="5"/>
      <c r="D55" s="5"/>
      <c r="E55" s="6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2.75" customHeight="1">
      <c r="A56" s="5"/>
      <c r="B56" s="5"/>
      <c r="C56" s="5"/>
      <c r="D56" s="5"/>
      <c r="E56" s="6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2.75" customHeight="1">
      <c r="A57" s="5"/>
      <c r="B57" s="5"/>
      <c r="C57" s="5"/>
      <c r="D57" s="5"/>
      <c r="E57" s="6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2.75" customHeight="1">
      <c r="A58" s="5"/>
      <c r="B58" s="5"/>
      <c r="C58" s="5"/>
      <c r="D58" s="5"/>
      <c r="E58" s="6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2.75" customHeight="1">
      <c r="A59" s="5"/>
      <c r="B59" s="5"/>
      <c r="C59" s="5"/>
      <c r="D59" s="5"/>
      <c r="E59" s="6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2.75" customHeight="1">
      <c r="A60" s="5"/>
      <c r="B60" s="5"/>
      <c r="C60" s="5"/>
      <c r="D60" s="5"/>
      <c r="E60" s="6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2.75" customHeight="1">
      <c r="A61" s="5"/>
      <c r="B61" s="5"/>
      <c r="C61" s="5"/>
      <c r="D61" s="5"/>
      <c r="E61" s="6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2.75" customHeight="1">
      <c r="A62" s="5"/>
      <c r="B62" s="5"/>
      <c r="C62" s="5"/>
      <c r="D62" s="5"/>
      <c r="E62" s="6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2.75" customHeight="1">
      <c r="A63" s="5"/>
      <c r="B63" s="5"/>
      <c r="C63" s="5"/>
      <c r="D63" s="5"/>
      <c r="E63" s="6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2.75" customHeight="1">
      <c r="A64" s="5"/>
      <c r="B64" s="5"/>
      <c r="C64" s="5"/>
      <c r="D64" s="5"/>
      <c r="E64" s="6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2.75" customHeight="1">
      <c r="A65" s="5"/>
      <c r="B65" s="5"/>
      <c r="C65" s="5"/>
      <c r="D65" s="5"/>
      <c r="E65" s="6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2.75" customHeight="1">
      <c r="A66" s="5"/>
      <c r="B66" s="5"/>
      <c r="C66" s="5"/>
      <c r="D66" s="5"/>
      <c r="E66" s="6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2.75" customHeight="1">
      <c r="A67" s="5"/>
      <c r="B67" s="5"/>
      <c r="C67" s="5"/>
      <c r="D67" s="5"/>
      <c r="E67" s="6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2.75" customHeight="1">
      <c r="A68" s="5"/>
      <c r="B68" s="5"/>
      <c r="C68" s="5"/>
      <c r="D68" s="5"/>
      <c r="E68" s="6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2.75" customHeight="1">
      <c r="A69" s="5"/>
      <c r="B69" s="5"/>
      <c r="C69" s="5"/>
      <c r="D69" s="5"/>
      <c r="E69" s="6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2.75" customHeight="1">
      <c r="A70" s="5"/>
      <c r="B70" s="5"/>
      <c r="C70" s="5"/>
      <c r="D70" s="5"/>
      <c r="E70" s="6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2.75" customHeight="1">
      <c r="A71" s="5"/>
      <c r="B71" s="5"/>
      <c r="C71" s="5"/>
      <c r="D71" s="5"/>
      <c r="E71" s="6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2.75" customHeight="1">
      <c r="A72" s="5"/>
      <c r="B72" s="5"/>
      <c r="C72" s="5"/>
      <c r="D72" s="5"/>
      <c r="E72" s="6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2.75" customHeight="1">
      <c r="A73" s="5"/>
      <c r="B73" s="5"/>
      <c r="C73" s="5"/>
      <c r="D73" s="5"/>
      <c r="E73" s="6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2.75" customHeight="1">
      <c r="A74" s="5"/>
      <c r="B74" s="5"/>
      <c r="C74" s="5"/>
      <c r="D74" s="5"/>
      <c r="E74" s="6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2.75" customHeight="1">
      <c r="A75" s="5"/>
      <c r="B75" s="5"/>
      <c r="C75" s="5"/>
      <c r="D75" s="5"/>
      <c r="E75" s="6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2.75" customHeight="1">
      <c r="A76" s="5"/>
      <c r="B76" s="5"/>
      <c r="C76" s="5"/>
      <c r="D76" s="5"/>
      <c r="E76" s="6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2.75" customHeight="1">
      <c r="A77" s="5"/>
      <c r="B77" s="5"/>
      <c r="C77" s="5"/>
      <c r="D77" s="5"/>
      <c r="E77" s="6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2.75" customHeight="1">
      <c r="A78" s="5"/>
      <c r="B78" s="5"/>
      <c r="C78" s="5"/>
      <c r="D78" s="5"/>
      <c r="E78" s="6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2.75" customHeight="1">
      <c r="A79" s="5"/>
      <c r="B79" s="5"/>
      <c r="C79" s="5"/>
      <c r="D79" s="5"/>
      <c r="E79" s="6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2.75" customHeight="1">
      <c r="A80" s="5"/>
      <c r="B80" s="5"/>
      <c r="C80" s="5"/>
      <c r="D80" s="5"/>
      <c r="E80" s="6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2.75" customHeight="1">
      <c r="A81" s="5"/>
      <c r="B81" s="5"/>
      <c r="C81" s="5"/>
      <c r="D81" s="5"/>
      <c r="E81" s="6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2.75" customHeight="1">
      <c r="A82" s="5"/>
      <c r="B82" s="5"/>
      <c r="C82" s="5"/>
      <c r="D82" s="5"/>
      <c r="E82" s="6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2.75" customHeight="1">
      <c r="A83" s="5"/>
      <c r="B83" s="5"/>
      <c r="C83" s="5"/>
      <c r="D83" s="5"/>
      <c r="E83" s="6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2.75" customHeight="1">
      <c r="A84" s="5"/>
      <c r="B84" s="5"/>
      <c r="C84" s="5"/>
      <c r="D84" s="5"/>
      <c r="E84" s="6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2.75" customHeight="1">
      <c r="A85" s="5"/>
      <c r="B85" s="5"/>
      <c r="C85" s="5"/>
      <c r="D85" s="5"/>
      <c r="E85" s="6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2.75" customHeight="1">
      <c r="A86" s="5"/>
      <c r="B86" s="5"/>
      <c r="C86" s="5"/>
      <c r="D86" s="5"/>
      <c r="E86" s="6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2.75" customHeight="1">
      <c r="A87" s="5"/>
      <c r="B87" s="5"/>
      <c r="C87" s="5"/>
      <c r="D87" s="5"/>
      <c r="E87" s="6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2.75" customHeight="1">
      <c r="A88" s="5"/>
      <c r="B88" s="5"/>
      <c r="C88" s="5"/>
      <c r="D88" s="5"/>
      <c r="E88" s="6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2.75" customHeight="1">
      <c r="A89" s="5"/>
      <c r="B89" s="5"/>
      <c r="C89" s="5"/>
      <c r="D89" s="5"/>
      <c r="E89" s="6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2.75" customHeight="1">
      <c r="A90" s="5"/>
      <c r="B90" s="5"/>
      <c r="C90" s="5"/>
      <c r="D90" s="5"/>
      <c r="E90" s="6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2.75" customHeight="1">
      <c r="A91" s="5"/>
      <c r="B91" s="5"/>
      <c r="C91" s="5"/>
      <c r="D91" s="5"/>
      <c r="E91" s="6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2.75" customHeight="1">
      <c r="A92" s="5"/>
      <c r="B92" s="5"/>
      <c r="C92" s="5"/>
      <c r="D92" s="5"/>
      <c r="E92" s="6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2.75" customHeight="1">
      <c r="A93" s="5"/>
      <c r="B93" s="5"/>
      <c r="C93" s="5"/>
      <c r="D93" s="5"/>
      <c r="E93" s="6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2.75" customHeight="1">
      <c r="A94" s="5"/>
      <c r="B94" s="5"/>
      <c r="C94" s="5"/>
      <c r="D94" s="5"/>
      <c r="E94" s="6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2.75" customHeight="1">
      <c r="A95" s="5"/>
      <c r="B95" s="5"/>
      <c r="C95" s="5"/>
      <c r="D95" s="5"/>
      <c r="E95" s="6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2.75" customHeight="1">
      <c r="A96" s="5"/>
      <c r="B96" s="5"/>
      <c r="C96" s="5"/>
      <c r="D96" s="5"/>
      <c r="E96" s="6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2.75" customHeight="1">
      <c r="A97" s="5"/>
      <c r="B97" s="5"/>
      <c r="C97" s="5"/>
      <c r="D97" s="5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2.75" customHeight="1">
      <c r="A98" s="5"/>
      <c r="B98" s="5"/>
      <c r="C98" s="5"/>
      <c r="D98" s="5"/>
      <c r="E98" s="6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2.75" customHeight="1">
      <c r="A99" s="5"/>
      <c r="B99" s="5"/>
      <c r="C99" s="5"/>
      <c r="D99" s="5"/>
      <c r="E99" s="6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2.75" customHeight="1">
      <c r="A100" s="5"/>
      <c r="B100" s="5"/>
      <c r="C100" s="5"/>
      <c r="D100" s="5"/>
      <c r="E100" s="6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2.75" customHeight="1">
      <c r="A101" s="5"/>
      <c r="B101" s="5"/>
      <c r="C101" s="5"/>
      <c r="D101" s="5"/>
      <c r="E101" s="6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2.75" customHeight="1">
      <c r="A102" s="5"/>
      <c r="B102" s="5"/>
      <c r="C102" s="5"/>
      <c r="D102" s="5"/>
      <c r="E102" s="6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2.75" customHeight="1">
      <c r="A103" s="5"/>
      <c r="B103" s="5"/>
      <c r="C103" s="5"/>
      <c r="D103" s="5"/>
      <c r="E103" s="6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2.75" customHeight="1">
      <c r="A104" s="5"/>
      <c r="B104" s="5"/>
      <c r="C104" s="5"/>
      <c r="D104" s="5"/>
      <c r="E104" s="6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2.75" customHeight="1">
      <c r="A105" s="5"/>
      <c r="B105" s="5"/>
      <c r="C105" s="5"/>
      <c r="D105" s="5"/>
      <c r="E105" s="6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2.75" customHeight="1">
      <c r="A106" s="5"/>
      <c r="B106" s="5"/>
      <c r="C106" s="5"/>
      <c r="D106" s="5"/>
      <c r="E106" s="6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2.75" customHeight="1">
      <c r="A107" s="5"/>
      <c r="B107" s="5"/>
      <c r="C107" s="5"/>
      <c r="D107" s="5"/>
      <c r="E107" s="6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2.75" customHeight="1">
      <c r="A108" s="5"/>
      <c r="B108" s="5"/>
      <c r="C108" s="5"/>
      <c r="D108" s="5"/>
      <c r="E108" s="6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2.75" customHeight="1">
      <c r="A109" s="5"/>
      <c r="B109" s="5"/>
      <c r="C109" s="5"/>
      <c r="D109" s="5"/>
      <c r="E109" s="6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2.75" customHeight="1">
      <c r="A110" s="5"/>
      <c r="B110" s="5"/>
      <c r="C110" s="5"/>
      <c r="D110" s="5"/>
      <c r="E110" s="6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2.75" customHeight="1">
      <c r="A111" s="5"/>
      <c r="B111" s="5"/>
      <c r="C111" s="5"/>
      <c r="D111" s="5"/>
      <c r="E111" s="6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2.75" customHeight="1">
      <c r="A112" s="5"/>
      <c r="B112" s="5"/>
      <c r="C112" s="5"/>
      <c r="D112" s="5"/>
      <c r="E112" s="6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2.75" customHeight="1">
      <c r="A113" s="5"/>
      <c r="B113" s="5"/>
      <c r="C113" s="5"/>
      <c r="D113" s="5"/>
      <c r="E113" s="6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2.75" customHeight="1">
      <c r="A114" s="5"/>
      <c r="B114" s="5"/>
      <c r="C114" s="5"/>
      <c r="D114" s="5"/>
      <c r="E114" s="6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2.75" customHeight="1">
      <c r="A115" s="5"/>
      <c r="B115" s="5"/>
      <c r="C115" s="5"/>
      <c r="D115" s="5"/>
      <c r="E115" s="6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2.75" customHeight="1">
      <c r="A116" s="5"/>
      <c r="B116" s="5"/>
      <c r="C116" s="5"/>
      <c r="D116" s="5"/>
      <c r="E116" s="6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2.75" customHeight="1">
      <c r="A117" s="5"/>
      <c r="B117" s="5"/>
      <c r="C117" s="5"/>
      <c r="D117" s="5"/>
      <c r="E117" s="6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2.75" customHeight="1">
      <c r="A118" s="5"/>
      <c r="B118" s="5"/>
      <c r="C118" s="5"/>
      <c r="D118" s="5"/>
      <c r="E118" s="6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2.75" customHeight="1">
      <c r="A119" s="5"/>
      <c r="B119" s="5"/>
      <c r="C119" s="5"/>
      <c r="D119" s="5"/>
      <c r="E119" s="6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2.75" customHeight="1">
      <c r="A120" s="5"/>
      <c r="B120" s="5"/>
      <c r="C120" s="5"/>
      <c r="D120" s="5"/>
      <c r="E120" s="6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2.75" customHeight="1">
      <c r="A121" s="5"/>
      <c r="B121" s="5"/>
      <c r="C121" s="5"/>
      <c r="D121" s="5"/>
      <c r="E121" s="6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2.75" customHeight="1">
      <c r="A122" s="5"/>
      <c r="B122" s="5"/>
      <c r="C122" s="5"/>
      <c r="D122" s="5"/>
      <c r="E122" s="6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2.75" customHeight="1">
      <c r="A123" s="5"/>
      <c r="B123" s="5"/>
      <c r="C123" s="5"/>
      <c r="D123" s="5"/>
      <c r="E123" s="6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2.75" customHeight="1">
      <c r="A124" s="5"/>
      <c r="B124" s="5"/>
      <c r="C124" s="5"/>
      <c r="D124" s="5"/>
      <c r="E124" s="6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2.75" customHeight="1">
      <c r="A125" s="5"/>
      <c r="B125" s="5"/>
      <c r="C125" s="5"/>
      <c r="D125" s="5"/>
      <c r="E125" s="6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2.75" customHeight="1">
      <c r="A126" s="5"/>
      <c r="B126" s="5"/>
      <c r="C126" s="5"/>
      <c r="D126" s="5"/>
      <c r="E126" s="6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2.75" customHeight="1">
      <c r="A127" s="5"/>
      <c r="B127" s="5"/>
      <c r="C127" s="5"/>
      <c r="D127" s="5"/>
      <c r="E127" s="6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2.75" customHeight="1">
      <c r="A128" s="5"/>
      <c r="B128" s="5"/>
      <c r="C128" s="5"/>
      <c r="D128" s="5"/>
      <c r="E128" s="6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2.75" customHeight="1">
      <c r="A129" s="5"/>
      <c r="B129" s="5"/>
      <c r="C129" s="5"/>
      <c r="D129" s="5"/>
      <c r="E129" s="6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2.75" customHeight="1">
      <c r="A130" s="5"/>
      <c r="B130" s="5"/>
      <c r="C130" s="5"/>
      <c r="D130" s="5"/>
      <c r="E130" s="6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2.75" customHeight="1">
      <c r="A131" s="5"/>
      <c r="B131" s="5"/>
      <c r="C131" s="5"/>
      <c r="D131" s="5"/>
      <c r="E131" s="6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2.75" customHeight="1">
      <c r="A132" s="5"/>
      <c r="B132" s="5"/>
      <c r="C132" s="5"/>
      <c r="D132" s="5"/>
      <c r="E132" s="6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2.75" customHeight="1">
      <c r="A133" s="5"/>
      <c r="B133" s="5"/>
      <c r="C133" s="5"/>
      <c r="D133" s="5"/>
      <c r="E133" s="6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2.75" customHeight="1">
      <c r="A134" s="5"/>
      <c r="B134" s="5"/>
      <c r="C134" s="5"/>
      <c r="D134" s="5"/>
      <c r="E134" s="6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2.75" customHeight="1">
      <c r="A135" s="5"/>
      <c r="B135" s="5"/>
      <c r="C135" s="5"/>
      <c r="D135" s="5"/>
      <c r="E135" s="6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2.75" customHeight="1">
      <c r="A136" s="5"/>
      <c r="B136" s="5"/>
      <c r="C136" s="5"/>
      <c r="D136" s="5"/>
      <c r="E136" s="6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2.75" customHeight="1">
      <c r="A137" s="5"/>
      <c r="B137" s="5"/>
      <c r="C137" s="5"/>
      <c r="D137" s="5"/>
      <c r="E137" s="6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2.75" customHeight="1">
      <c r="A138" s="5"/>
      <c r="B138" s="5"/>
      <c r="C138" s="5"/>
      <c r="D138" s="5"/>
      <c r="E138" s="6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2.75" customHeight="1">
      <c r="A139" s="5"/>
      <c r="B139" s="5"/>
      <c r="C139" s="5"/>
      <c r="D139" s="5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2.75" customHeight="1">
      <c r="A140" s="5"/>
      <c r="B140" s="5"/>
      <c r="C140" s="5"/>
      <c r="D140" s="5"/>
      <c r="E140" s="6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2.75" customHeight="1">
      <c r="A141" s="5"/>
      <c r="B141" s="5"/>
      <c r="C141" s="5"/>
      <c r="D141" s="5"/>
      <c r="E141" s="6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2.75" customHeight="1">
      <c r="A142" s="5"/>
      <c r="B142" s="5"/>
      <c r="C142" s="5"/>
      <c r="D142" s="5"/>
      <c r="E142" s="6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2.75" customHeight="1">
      <c r="A143" s="5"/>
      <c r="B143" s="5"/>
      <c r="C143" s="5"/>
      <c r="D143" s="5"/>
      <c r="E143" s="6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2.75" customHeight="1">
      <c r="A144" s="5"/>
      <c r="B144" s="5"/>
      <c r="C144" s="5"/>
      <c r="D144" s="5"/>
      <c r="E144" s="6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2.75" customHeight="1">
      <c r="A145" s="5"/>
      <c r="B145" s="5"/>
      <c r="C145" s="5"/>
      <c r="D145" s="5"/>
      <c r="E145" s="6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2.75" customHeight="1">
      <c r="A146" s="5"/>
      <c r="B146" s="5"/>
      <c r="C146" s="5"/>
      <c r="D146" s="5"/>
      <c r="E146" s="6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2.75" customHeight="1">
      <c r="A147" s="5"/>
      <c r="B147" s="5"/>
      <c r="C147" s="5"/>
      <c r="D147" s="5"/>
      <c r="E147" s="6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2.75" customHeight="1">
      <c r="A148" s="5"/>
      <c r="B148" s="5"/>
      <c r="C148" s="5"/>
      <c r="D148" s="5"/>
      <c r="E148" s="6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2.75" customHeight="1">
      <c r="A149" s="5"/>
      <c r="B149" s="5"/>
      <c r="C149" s="5"/>
      <c r="D149" s="5"/>
      <c r="E149" s="6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2.75" customHeight="1">
      <c r="A150" s="5"/>
      <c r="B150" s="5"/>
      <c r="C150" s="5"/>
      <c r="D150" s="5"/>
      <c r="E150" s="6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2.75" customHeight="1">
      <c r="A151" s="5"/>
      <c r="B151" s="5"/>
      <c r="C151" s="5"/>
      <c r="D151" s="5"/>
      <c r="E151" s="6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2.75" customHeight="1">
      <c r="A152" s="5"/>
      <c r="B152" s="5"/>
      <c r="C152" s="5"/>
      <c r="D152" s="5"/>
      <c r="E152" s="6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2.75" customHeight="1">
      <c r="A153" s="5"/>
      <c r="B153" s="5"/>
      <c r="C153" s="5"/>
      <c r="D153" s="5"/>
      <c r="E153" s="6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2.75" customHeight="1">
      <c r="A154" s="5"/>
      <c r="B154" s="5"/>
      <c r="C154" s="5"/>
      <c r="D154" s="5"/>
      <c r="E154" s="6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2.75" customHeight="1">
      <c r="A155" s="5"/>
      <c r="B155" s="5"/>
      <c r="C155" s="5"/>
      <c r="D155" s="5"/>
      <c r="E155" s="6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2.75" customHeight="1">
      <c r="A156" s="5"/>
      <c r="B156" s="5"/>
      <c r="C156" s="5"/>
      <c r="D156" s="5"/>
      <c r="E156" s="6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2.75" customHeight="1">
      <c r="A157" s="5"/>
      <c r="B157" s="5"/>
      <c r="C157" s="5"/>
      <c r="D157" s="5"/>
      <c r="E157" s="6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2.75" customHeight="1">
      <c r="A158" s="5"/>
      <c r="B158" s="5"/>
      <c r="C158" s="5"/>
      <c r="D158" s="5"/>
      <c r="E158" s="6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2.75" customHeight="1">
      <c r="A159" s="5"/>
      <c r="B159" s="5"/>
      <c r="C159" s="5"/>
      <c r="D159" s="5"/>
      <c r="E159" s="6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2.75" customHeight="1">
      <c r="A160" s="5"/>
      <c r="B160" s="5"/>
      <c r="C160" s="5"/>
      <c r="D160" s="5"/>
      <c r="E160" s="6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2.75" customHeight="1">
      <c r="A161" s="5"/>
      <c r="B161" s="5"/>
      <c r="C161" s="5"/>
      <c r="D161" s="5"/>
      <c r="E161" s="6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2.75" customHeight="1">
      <c r="A162" s="5"/>
      <c r="B162" s="5"/>
      <c r="C162" s="5"/>
      <c r="D162" s="5"/>
      <c r="E162" s="6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2.75" customHeight="1">
      <c r="A163" s="5"/>
      <c r="B163" s="5"/>
      <c r="C163" s="5"/>
      <c r="D163" s="5"/>
      <c r="E163" s="6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2.75" customHeight="1">
      <c r="A164" s="5"/>
      <c r="B164" s="5"/>
      <c r="C164" s="5"/>
      <c r="D164" s="5"/>
      <c r="E164" s="6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2.75" customHeight="1">
      <c r="A165" s="5"/>
      <c r="B165" s="5"/>
      <c r="C165" s="5"/>
      <c r="D165" s="5"/>
      <c r="E165" s="6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2.75" customHeight="1">
      <c r="A166" s="5"/>
      <c r="B166" s="5"/>
      <c r="C166" s="5"/>
      <c r="D166" s="5"/>
      <c r="E166" s="6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2.75" customHeight="1">
      <c r="A167" s="5"/>
      <c r="B167" s="5"/>
      <c r="C167" s="5"/>
      <c r="D167" s="5"/>
      <c r="E167" s="6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2.75" customHeight="1">
      <c r="A168" s="5"/>
      <c r="B168" s="5"/>
      <c r="C168" s="5"/>
      <c r="D168" s="5"/>
      <c r="E168" s="6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2.75" customHeight="1">
      <c r="A169" s="5"/>
      <c r="B169" s="5"/>
      <c r="C169" s="5"/>
      <c r="D169" s="5"/>
      <c r="E169" s="6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2.75" customHeight="1">
      <c r="A170" s="5"/>
      <c r="B170" s="5"/>
      <c r="C170" s="5"/>
      <c r="D170" s="5"/>
      <c r="E170" s="6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2.75" customHeight="1">
      <c r="A171" s="5"/>
      <c r="B171" s="5"/>
      <c r="C171" s="5"/>
      <c r="D171" s="5"/>
      <c r="E171" s="6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2.75" customHeight="1">
      <c r="A172" s="5"/>
      <c r="B172" s="5"/>
      <c r="C172" s="5"/>
      <c r="D172" s="5"/>
      <c r="E172" s="6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2.75" customHeight="1">
      <c r="A173" s="5"/>
      <c r="B173" s="5"/>
      <c r="C173" s="5"/>
      <c r="D173" s="5"/>
      <c r="E173" s="6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2.75" customHeight="1">
      <c r="A174" s="5"/>
      <c r="B174" s="5"/>
      <c r="C174" s="5"/>
      <c r="D174" s="5"/>
      <c r="E174" s="6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2.75" customHeight="1">
      <c r="A175" s="5"/>
      <c r="B175" s="5"/>
      <c r="C175" s="5"/>
      <c r="D175" s="5"/>
      <c r="E175" s="6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2.75" customHeight="1">
      <c r="A176" s="5"/>
      <c r="B176" s="5"/>
      <c r="C176" s="5"/>
      <c r="D176" s="5"/>
      <c r="E176" s="6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2.75" customHeight="1">
      <c r="A177" s="5"/>
      <c r="B177" s="5"/>
      <c r="C177" s="5"/>
      <c r="D177" s="5"/>
      <c r="E177" s="6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2.75" customHeight="1">
      <c r="A178" s="5"/>
      <c r="B178" s="5"/>
      <c r="C178" s="5"/>
      <c r="D178" s="5"/>
      <c r="E178" s="6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2.75" customHeight="1">
      <c r="A179" s="5"/>
      <c r="B179" s="5"/>
      <c r="C179" s="5"/>
      <c r="D179" s="5"/>
      <c r="E179" s="6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2.75" customHeight="1">
      <c r="A180" s="5"/>
      <c r="B180" s="5"/>
      <c r="C180" s="5"/>
      <c r="D180" s="5"/>
      <c r="E180" s="6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2.75" customHeight="1">
      <c r="A181" s="5"/>
      <c r="B181" s="5"/>
      <c r="C181" s="5"/>
      <c r="D181" s="5"/>
      <c r="E181" s="6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2.75" customHeight="1">
      <c r="A182" s="5"/>
      <c r="B182" s="5"/>
      <c r="C182" s="5"/>
      <c r="D182" s="5"/>
      <c r="E182" s="6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2.75" customHeight="1">
      <c r="A183" s="5"/>
      <c r="B183" s="5"/>
      <c r="C183" s="5"/>
      <c r="D183" s="5"/>
      <c r="E183" s="6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2.75" customHeight="1">
      <c r="A184" s="5"/>
      <c r="B184" s="5"/>
      <c r="C184" s="5"/>
      <c r="D184" s="5"/>
      <c r="E184" s="6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2.75" customHeight="1">
      <c r="A185" s="5"/>
      <c r="B185" s="5"/>
      <c r="C185" s="5"/>
      <c r="D185" s="5"/>
      <c r="E185" s="6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2.75" customHeight="1">
      <c r="A186" s="5"/>
      <c r="B186" s="5"/>
      <c r="C186" s="5"/>
      <c r="D186" s="5"/>
      <c r="E186" s="6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2.75" customHeight="1">
      <c r="A187" s="5"/>
      <c r="B187" s="5"/>
      <c r="C187" s="5"/>
      <c r="D187" s="5"/>
      <c r="E187" s="6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2.75" customHeight="1">
      <c r="A188" s="5"/>
      <c r="B188" s="5"/>
      <c r="C188" s="5"/>
      <c r="D188" s="5"/>
      <c r="E188" s="6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2.75" customHeight="1">
      <c r="A189" s="5"/>
      <c r="B189" s="5"/>
      <c r="C189" s="5"/>
      <c r="D189" s="5"/>
      <c r="E189" s="6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2.75" customHeight="1">
      <c r="A190" s="5"/>
      <c r="B190" s="5"/>
      <c r="C190" s="5"/>
      <c r="D190" s="5"/>
      <c r="E190" s="6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2.75" customHeight="1">
      <c r="A191" s="5"/>
      <c r="B191" s="5"/>
      <c r="C191" s="5"/>
      <c r="D191" s="5"/>
      <c r="E191" s="6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2.75" customHeight="1">
      <c r="A192" s="5"/>
      <c r="B192" s="5"/>
      <c r="C192" s="5"/>
      <c r="D192" s="5"/>
      <c r="E192" s="6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2.75" customHeight="1">
      <c r="A193" s="5"/>
      <c r="B193" s="5"/>
      <c r="C193" s="5"/>
      <c r="D193" s="5"/>
      <c r="E193" s="6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2.75" customHeight="1">
      <c r="A194" s="5"/>
      <c r="B194" s="5"/>
      <c r="C194" s="5"/>
      <c r="D194" s="5"/>
      <c r="E194" s="6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2.75" customHeight="1">
      <c r="A195" s="5"/>
      <c r="B195" s="5"/>
      <c r="C195" s="5"/>
      <c r="D195" s="5"/>
      <c r="E195" s="6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2.75" customHeight="1">
      <c r="A196" s="5"/>
      <c r="B196" s="5"/>
      <c r="C196" s="5"/>
      <c r="D196" s="5"/>
      <c r="E196" s="6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2.75" customHeight="1">
      <c r="A197" s="5"/>
      <c r="B197" s="5"/>
      <c r="C197" s="5"/>
      <c r="D197" s="5"/>
      <c r="E197" s="6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2.75" customHeight="1">
      <c r="A198" s="5"/>
      <c r="B198" s="5"/>
      <c r="C198" s="5"/>
      <c r="D198" s="5"/>
      <c r="E198" s="6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2.75" customHeight="1">
      <c r="A199" s="5"/>
      <c r="B199" s="5"/>
      <c r="C199" s="5"/>
      <c r="D199" s="5"/>
      <c r="E199" s="6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2.75" customHeight="1">
      <c r="A200" s="5"/>
      <c r="B200" s="5"/>
      <c r="C200" s="5"/>
      <c r="D200" s="5"/>
      <c r="E200" s="6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2.75" customHeight="1">
      <c r="A201" s="5"/>
      <c r="B201" s="5"/>
      <c r="C201" s="5"/>
      <c r="D201" s="5"/>
      <c r="E201" s="6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2.75" customHeight="1">
      <c r="A202" s="5"/>
      <c r="B202" s="5"/>
      <c r="C202" s="5"/>
      <c r="D202" s="5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2.75" customHeight="1">
      <c r="A203" s="5"/>
      <c r="B203" s="5"/>
      <c r="C203" s="5"/>
      <c r="D203" s="5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2.75" customHeight="1">
      <c r="A204" s="5"/>
      <c r="B204" s="5"/>
      <c r="C204" s="5"/>
      <c r="D204" s="5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2.75" customHeight="1">
      <c r="A205" s="5"/>
      <c r="B205" s="5"/>
      <c r="C205" s="5"/>
      <c r="D205" s="5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2.75" customHeight="1">
      <c r="A206" s="5"/>
      <c r="B206" s="5"/>
      <c r="C206" s="5"/>
      <c r="D206" s="5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2.75" customHeight="1">
      <c r="A207" s="5"/>
      <c r="B207" s="5"/>
      <c r="C207" s="5"/>
      <c r="D207" s="5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2.75" customHeight="1">
      <c r="A208" s="5"/>
      <c r="B208" s="5"/>
      <c r="C208" s="5"/>
      <c r="D208" s="5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2.75" customHeight="1">
      <c r="A209" s="5"/>
      <c r="B209" s="5"/>
      <c r="C209" s="5"/>
      <c r="D209" s="5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2.75" customHeight="1">
      <c r="A210" s="5"/>
      <c r="B210" s="5"/>
      <c r="C210" s="5"/>
      <c r="D210" s="5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2.75" customHeight="1">
      <c r="A211" s="5"/>
      <c r="B211" s="5"/>
      <c r="C211" s="5"/>
      <c r="D211" s="5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2.75" customHeight="1">
      <c r="A212" s="5"/>
      <c r="B212" s="5"/>
      <c r="C212" s="5"/>
      <c r="D212" s="5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2.75" customHeight="1">
      <c r="A213" s="5"/>
      <c r="B213" s="5"/>
      <c r="C213" s="5"/>
      <c r="D213" s="5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2.75" customHeight="1">
      <c r="A214" s="5"/>
      <c r="B214" s="5"/>
      <c r="C214" s="5"/>
      <c r="D214" s="5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2.75" customHeight="1">
      <c r="A215" s="5"/>
      <c r="B215" s="5"/>
      <c r="C215" s="5"/>
      <c r="D215" s="5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2.75" customHeight="1">
      <c r="A216" s="5"/>
      <c r="B216" s="5"/>
      <c r="C216" s="5"/>
      <c r="D216" s="5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2.75" customHeight="1">
      <c r="A217" s="5"/>
      <c r="B217" s="5"/>
      <c r="C217" s="5"/>
      <c r="D217" s="5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2.75" customHeight="1">
      <c r="A218" s="5"/>
      <c r="B218" s="5"/>
      <c r="C218" s="5"/>
      <c r="D218" s="5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2.75" customHeight="1">
      <c r="A219" s="5"/>
      <c r="B219" s="5"/>
      <c r="C219" s="5"/>
      <c r="D219" s="5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2.75" customHeight="1">
      <c r="A220" s="5"/>
      <c r="B220" s="5"/>
      <c r="C220" s="5"/>
      <c r="D220" s="5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C10">
    <cfRule type="expression" dxfId="0" priority="1">
      <formula>AND(C$13=MIN($C$13),C$13&lt;&gt;0)</formula>
    </cfRule>
  </conditionalFormatting>
  <conditionalFormatting sqref="C7">
    <cfRule type="expression" dxfId="0" priority="2">
      <formula>AND(C$18=MIN($D$18:$I$18),C$18&lt;&gt;0)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0"/>
    <col customWidth="1" min="2" max="2" width="19.83"/>
    <col customWidth="1" min="3" max="3" width="12.0"/>
    <col customWidth="1" min="4" max="9" width="18.5"/>
    <col customWidth="1" min="10" max="26" width="12.0"/>
  </cols>
  <sheetData>
    <row r="1" ht="11.25" customHeight="1"/>
    <row r="2" ht="11.25" customHeight="1"/>
    <row r="3" ht="11.25" customHeight="1"/>
    <row r="4" ht="11.25" customHeight="1"/>
    <row r="5" ht="11.25" customHeight="1"/>
    <row r="6" ht="11.25" customHeight="1"/>
    <row r="7" ht="11.25" customHeight="1">
      <c r="B7" s="95" t="s">
        <v>115</v>
      </c>
      <c r="C7" s="96">
        <v>1.0</v>
      </c>
      <c r="D7" s="95">
        <v>498.0</v>
      </c>
      <c r="E7" s="95">
        <v>420.0</v>
      </c>
      <c r="F7" s="95">
        <v>450.0</v>
      </c>
      <c r="G7" s="95">
        <v>230.0</v>
      </c>
      <c r="H7" s="95">
        <v>600.0</v>
      </c>
      <c r="I7" s="95">
        <v>520.0</v>
      </c>
    </row>
    <row r="8" ht="11.25" customHeight="1">
      <c r="B8" s="95" t="s">
        <v>116</v>
      </c>
      <c r="C8" s="96">
        <v>2.0</v>
      </c>
      <c r="D8" s="95">
        <v>450.0</v>
      </c>
      <c r="E8" s="95">
        <v>220.0</v>
      </c>
      <c r="F8" s="95">
        <v>405.0</v>
      </c>
      <c r="G8" s="95">
        <v>495.0</v>
      </c>
      <c r="H8" s="95">
        <v>540.0</v>
      </c>
      <c r="I8" s="95">
        <v>200.0</v>
      </c>
    </row>
    <row r="9" ht="11.25" customHeight="1">
      <c r="B9" s="95" t="s">
        <v>117</v>
      </c>
      <c r="C9" s="96">
        <v>2.0</v>
      </c>
      <c r="D9" s="95">
        <v>650.0</v>
      </c>
      <c r="E9" s="95">
        <v>620.0</v>
      </c>
      <c r="F9" s="95">
        <v>666.0</v>
      </c>
      <c r="G9" s="95">
        <v>400.0</v>
      </c>
      <c r="H9" s="95">
        <v>648.0</v>
      </c>
      <c r="I9" s="95">
        <v>452.4</v>
      </c>
    </row>
    <row r="10" ht="11.25" customHeight="1">
      <c r="B10" s="95" t="s">
        <v>118</v>
      </c>
      <c r="C10" s="96">
        <v>1.0</v>
      </c>
      <c r="D10" s="95">
        <v>585.0</v>
      </c>
      <c r="E10" s="95">
        <v>558.0</v>
      </c>
      <c r="F10" s="95">
        <v>320.0</v>
      </c>
      <c r="G10" s="95">
        <v>360.0</v>
      </c>
      <c r="H10" s="95">
        <v>583.2</v>
      </c>
      <c r="I10" s="95">
        <v>407.16</v>
      </c>
    </row>
    <row r="11" ht="11.25" customHeight="1">
      <c r="B11" s="95" t="s">
        <v>119</v>
      </c>
      <c r="C11" s="96">
        <v>3.0</v>
      </c>
      <c r="D11" s="95">
        <v>526.5</v>
      </c>
      <c r="E11" s="95">
        <v>502.2</v>
      </c>
      <c r="F11" s="95">
        <v>539.46</v>
      </c>
      <c r="G11" s="95">
        <v>300.0</v>
      </c>
      <c r="H11" s="95">
        <v>500.0</v>
      </c>
      <c r="I11" s="95">
        <v>366.44</v>
      </c>
    </row>
    <row r="12" ht="11.25" customHeight="1">
      <c r="B12" s="95" t="s">
        <v>120</v>
      </c>
      <c r="C12" s="96">
        <v>1.0</v>
      </c>
      <c r="D12" s="95">
        <v>473.8</v>
      </c>
      <c r="E12" s="95">
        <v>200.0</v>
      </c>
      <c r="F12" s="95">
        <v>485.51</v>
      </c>
      <c r="G12" s="95">
        <v>291.6</v>
      </c>
      <c r="H12" s="95">
        <v>270.0</v>
      </c>
      <c r="I12" s="95">
        <v>220.0</v>
      </c>
    </row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>
      <c r="D19" s="97">
        <v>30.0</v>
      </c>
      <c r="E19" s="98">
        <v>10.0</v>
      </c>
      <c r="F19" s="98">
        <v>15.0</v>
      </c>
      <c r="G19" s="98">
        <v>15.0</v>
      </c>
      <c r="H19" s="98">
        <v>15.0</v>
      </c>
      <c r="I19" s="98">
        <v>10.0</v>
      </c>
    </row>
    <row r="20" ht="11.25" customHeight="1">
      <c r="D20" s="99">
        <v>10.0</v>
      </c>
      <c r="E20" s="100">
        <v>10.0</v>
      </c>
      <c r="F20" s="100">
        <v>10.0</v>
      </c>
      <c r="G20" s="98" t="s">
        <v>121</v>
      </c>
      <c r="H20" s="100">
        <v>5.0</v>
      </c>
      <c r="I20" s="100" t="s">
        <v>121</v>
      </c>
    </row>
    <row r="21" ht="11.25" customHeight="1">
      <c r="D21" s="101" t="s">
        <v>122</v>
      </c>
      <c r="E21" s="102" t="s">
        <v>122</v>
      </c>
      <c r="F21" s="102" t="s">
        <v>123</v>
      </c>
      <c r="G21" s="102" t="s">
        <v>124</v>
      </c>
      <c r="H21" s="102" t="s">
        <v>123</v>
      </c>
      <c r="I21" s="102" t="s">
        <v>123</v>
      </c>
    </row>
    <row r="22" ht="11.25" customHeight="1">
      <c r="D22" s="103" t="s">
        <v>125</v>
      </c>
      <c r="E22" s="104" t="s">
        <v>125</v>
      </c>
      <c r="F22" s="104" t="s">
        <v>126</v>
      </c>
      <c r="G22" s="104" t="s">
        <v>123</v>
      </c>
      <c r="H22" s="104" t="s">
        <v>126</v>
      </c>
      <c r="I22" s="104" t="s">
        <v>126</v>
      </c>
    </row>
    <row r="23" ht="11.25" customHeight="1">
      <c r="D23" s="105"/>
      <c r="E23" s="106"/>
      <c r="F23" s="106"/>
      <c r="G23" s="106"/>
      <c r="H23" s="106"/>
      <c r="I23" s="106"/>
    </row>
    <row r="24" ht="11.25" customHeight="1">
      <c r="D24" s="107"/>
      <c r="E24" s="108"/>
      <c r="F24" s="108"/>
      <c r="G24" s="108"/>
      <c r="H24" s="108"/>
      <c r="I24" s="108"/>
    </row>
    <row r="25" ht="11.25" customHeight="1"/>
    <row r="26" ht="11.25" customHeight="1"/>
    <row r="27" ht="11.25" customHeight="1"/>
    <row r="28" ht="11.25" customHeight="1">
      <c r="B28" s="95" t="s">
        <v>127</v>
      </c>
      <c r="C28" s="96">
        <v>1.0</v>
      </c>
      <c r="D28" s="95">
        <v>340.0</v>
      </c>
      <c r="E28" s="95">
        <v>330.0</v>
      </c>
      <c r="F28" s="95">
        <v>440.0</v>
      </c>
      <c r="G28" s="95">
        <v>400.0</v>
      </c>
      <c r="H28" s="95">
        <v>320.0</v>
      </c>
      <c r="I28" s="95">
        <v>330.0</v>
      </c>
    </row>
    <row r="29" ht="11.25" customHeight="1">
      <c r="B29" s="95" t="s">
        <v>128</v>
      </c>
      <c r="C29" s="96">
        <v>1.0</v>
      </c>
      <c r="D29" s="95">
        <v>220.0</v>
      </c>
      <c r="E29" s="95">
        <v>230.0</v>
      </c>
      <c r="F29" s="95">
        <v>240.0</v>
      </c>
      <c r="G29" s="95">
        <v>220.0</v>
      </c>
      <c r="H29" s="95">
        <v>219.0</v>
      </c>
      <c r="I29" s="95">
        <v>218.0</v>
      </c>
    </row>
    <row r="30" ht="11.25" customHeight="1">
      <c r="B30" s="95" t="s">
        <v>129</v>
      </c>
      <c r="C30" s="96">
        <v>2.0</v>
      </c>
      <c r="D30" s="95">
        <v>560.0</v>
      </c>
      <c r="E30" s="95">
        <v>580.0</v>
      </c>
      <c r="F30" s="95">
        <v>550.0</v>
      </c>
      <c r="G30" s="95">
        <v>520.0</v>
      </c>
      <c r="H30" s="95">
        <v>551.0</v>
      </c>
      <c r="I30" s="95">
        <v>550.0</v>
      </c>
    </row>
    <row r="31" ht="11.25" customHeight="1"/>
    <row r="32" ht="11.25" customHeight="1"/>
    <row r="33" ht="11.25" customHeight="1"/>
    <row r="34" ht="11.25" customHeight="1"/>
    <row r="35" ht="11.25" customHeight="1">
      <c r="B35" s="109" t="s">
        <v>130</v>
      </c>
    </row>
    <row r="36" ht="11.25" customHeight="1">
      <c r="B36" s="110">
        <v>250.0</v>
      </c>
    </row>
    <row r="37" ht="11.25" customHeight="1">
      <c r="B37" s="111">
        <v>440.0</v>
      </c>
    </row>
    <row r="38" ht="11.25" customHeight="1">
      <c r="B38" s="111">
        <v>440.0</v>
      </c>
    </row>
    <row r="39" ht="11.25" customHeight="1">
      <c r="B39" s="111">
        <v>350.0</v>
      </c>
    </row>
    <row r="40" ht="11.25" customHeight="1">
      <c r="B40" s="111">
        <v>420.0</v>
      </c>
    </row>
    <row r="41" ht="11.25" customHeight="1">
      <c r="B41" s="111">
        <v>199.0</v>
      </c>
    </row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conditionalFormatting sqref="D7:I12 D28:I30">
    <cfRule type="expression" dxfId="1" priority="1">
      <formula>AND(D$15=MIN($D$15:$I$15),D$15&lt;&gt;0)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2013-10-17T12:18:53Z</dcterms:created>
  <dc:creator>Planilla excel</dc:creator>
</cp:coreProperties>
</file>